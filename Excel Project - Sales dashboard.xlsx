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nkit\OneDrive\Desktop\ML\Excel\"/>
    </mc:Choice>
  </mc:AlternateContent>
  <bookViews>
    <workbookView xWindow="0" yWindow="0" windowWidth="9120" windowHeight="7305" activeTab="1"/>
  </bookViews>
  <sheets>
    <sheet name="Pivot Tables" sheetId="3" r:id="rId1"/>
    <sheet name="Dashboard" sheetId="4" r:id="rId2"/>
    <sheet name="Sheet" sheetId="1" r:id="rId3"/>
  </sheets>
  <definedNames>
    <definedName name="Slicer_Date">#N/A</definedName>
    <definedName name="Slicer_Product">#N/A</definedName>
    <definedName name="Slicer_SalesPerson">#N/A</definedName>
    <definedName name="Slicer_Stor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69" i="1" l="1"/>
  <c r="E469" i="1"/>
  <c r="D469" i="1"/>
  <c r="C469" i="1"/>
  <c r="B469" i="1"/>
  <c r="A469" i="1"/>
  <c r="F468" i="1"/>
  <c r="E468" i="1"/>
  <c r="D468" i="1"/>
  <c r="C468" i="1"/>
  <c r="B468" i="1"/>
  <c r="A468" i="1"/>
  <c r="F467" i="1"/>
  <c r="E467" i="1"/>
  <c r="D467" i="1"/>
  <c r="C467" i="1"/>
  <c r="B467" i="1"/>
  <c r="A467" i="1"/>
  <c r="F466" i="1"/>
  <c r="E466" i="1"/>
  <c r="D466" i="1"/>
  <c r="C466" i="1"/>
  <c r="B466" i="1"/>
  <c r="A466" i="1"/>
  <c r="F465" i="1"/>
  <c r="E465" i="1"/>
  <c r="D465" i="1"/>
  <c r="C465" i="1"/>
  <c r="B465" i="1"/>
  <c r="A465" i="1"/>
  <c r="F464" i="1"/>
  <c r="E464" i="1"/>
  <c r="D464" i="1"/>
  <c r="C464" i="1"/>
  <c r="B464" i="1"/>
  <c r="A464" i="1"/>
  <c r="F463" i="1"/>
  <c r="E463" i="1"/>
  <c r="D463" i="1"/>
  <c r="C463" i="1"/>
  <c r="B463" i="1"/>
  <c r="A463" i="1"/>
  <c r="F462" i="1"/>
  <c r="E462" i="1"/>
  <c r="D462" i="1"/>
  <c r="C462" i="1"/>
  <c r="B462" i="1"/>
  <c r="A462" i="1"/>
  <c r="F461" i="1"/>
  <c r="E461" i="1"/>
  <c r="D461" i="1"/>
  <c r="C461" i="1"/>
  <c r="B461" i="1"/>
  <c r="A461" i="1"/>
  <c r="F460" i="1"/>
  <c r="E460" i="1"/>
  <c r="D460" i="1"/>
  <c r="C460" i="1"/>
  <c r="B460" i="1"/>
  <c r="A460" i="1"/>
  <c r="F459" i="1"/>
  <c r="E459" i="1"/>
  <c r="D459" i="1"/>
  <c r="C459" i="1"/>
  <c r="B459" i="1"/>
  <c r="A459" i="1"/>
  <c r="F458" i="1"/>
  <c r="E458" i="1"/>
  <c r="D458" i="1"/>
  <c r="C458" i="1"/>
  <c r="B458" i="1"/>
  <c r="A458" i="1"/>
  <c r="F457" i="1"/>
  <c r="E457" i="1"/>
  <c r="D457" i="1"/>
  <c r="C457" i="1"/>
  <c r="B457" i="1"/>
  <c r="A457" i="1"/>
  <c r="F456" i="1"/>
  <c r="E456" i="1"/>
  <c r="D456" i="1"/>
  <c r="C456" i="1"/>
  <c r="B456" i="1"/>
  <c r="A456" i="1"/>
  <c r="F455" i="1"/>
  <c r="E455" i="1"/>
  <c r="D455" i="1"/>
  <c r="C455" i="1"/>
  <c r="B455" i="1"/>
  <c r="A455" i="1"/>
  <c r="F454" i="1"/>
  <c r="E454" i="1"/>
  <c r="D454" i="1"/>
  <c r="C454" i="1"/>
  <c r="B454" i="1"/>
  <c r="A454" i="1"/>
  <c r="F453" i="1"/>
  <c r="E453" i="1"/>
  <c r="D453" i="1"/>
  <c r="C453" i="1"/>
  <c r="B453" i="1"/>
  <c r="A453" i="1"/>
  <c r="F452" i="1"/>
  <c r="E452" i="1"/>
  <c r="D452" i="1"/>
  <c r="C452" i="1"/>
  <c r="B452" i="1"/>
  <c r="A452" i="1"/>
  <c r="F451" i="1"/>
  <c r="E451" i="1"/>
  <c r="D451" i="1"/>
  <c r="C451" i="1"/>
  <c r="B451" i="1"/>
  <c r="A451" i="1"/>
  <c r="F450" i="1"/>
  <c r="E450" i="1"/>
  <c r="D450" i="1"/>
  <c r="C450" i="1"/>
  <c r="B450" i="1"/>
  <c r="A450" i="1"/>
  <c r="F449" i="1"/>
  <c r="E449" i="1"/>
  <c r="D449" i="1"/>
  <c r="C449" i="1"/>
  <c r="B449" i="1"/>
  <c r="A449" i="1"/>
  <c r="F448" i="1"/>
  <c r="E448" i="1"/>
  <c r="D448" i="1"/>
  <c r="C448" i="1"/>
  <c r="B448" i="1"/>
  <c r="A448" i="1"/>
  <c r="F447" i="1"/>
  <c r="E447" i="1"/>
  <c r="D447" i="1"/>
  <c r="C447" i="1"/>
  <c r="B447" i="1"/>
  <c r="A447" i="1"/>
  <c r="F446" i="1"/>
  <c r="E446" i="1"/>
  <c r="D446" i="1"/>
  <c r="C446" i="1"/>
  <c r="B446" i="1"/>
  <c r="A446" i="1"/>
  <c r="F445" i="1"/>
  <c r="E445" i="1"/>
  <c r="D445" i="1"/>
  <c r="C445" i="1"/>
  <c r="B445" i="1"/>
  <c r="A445" i="1"/>
  <c r="F444" i="1"/>
  <c r="E444" i="1"/>
  <c r="D444" i="1"/>
  <c r="C444" i="1"/>
  <c r="B444" i="1"/>
  <c r="A444" i="1"/>
  <c r="F443" i="1"/>
  <c r="E443" i="1"/>
  <c r="D443" i="1"/>
  <c r="C443" i="1"/>
  <c r="B443" i="1"/>
  <c r="A443" i="1"/>
  <c r="F442" i="1"/>
  <c r="E442" i="1"/>
  <c r="D442" i="1"/>
  <c r="C442" i="1"/>
  <c r="B442" i="1"/>
  <c r="A442" i="1"/>
  <c r="F441" i="1"/>
  <c r="E441" i="1"/>
  <c r="D441" i="1"/>
  <c r="C441" i="1"/>
  <c r="B441" i="1"/>
  <c r="A441" i="1"/>
  <c r="F440" i="1"/>
  <c r="E440" i="1"/>
  <c r="D440" i="1"/>
  <c r="C440" i="1"/>
  <c r="B440" i="1"/>
  <c r="A440" i="1"/>
  <c r="F439" i="1"/>
  <c r="E439" i="1"/>
  <c r="D439" i="1"/>
  <c r="C439" i="1"/>
  <c r="B439" i="1"/>
  <c r="A439" i="1"/>
  <c r="F438" i="1"/>
  <c r="E438" i="1"/>
  <c r="D438" i="1"/>
  <c r="C438" i="1"/>
  <c r="B438" i="1"/>
  <c r="A438" i="1"/>
  <c r="F437" i="1"/>
  <c r="E437" i="1"/>
  <c r="D437" i="1"/>
  <c r="C437" i="1"/>
  <c r="B437" i="1"/>
  <c r="A437" i="1"/>
  <c r="F436" i="1"/>
  <c r="E436" i="1"/>
  <c r="D436" i="1"/>
  <c r="C436" i="1"/>
  <c r="B436" i="1"/>
  <c r="A436" i="1"/>
  <c r="F435" i="1"/>
  <c r="E435" i="1"/>
  <c r="D435" i="1"/>
  <c r="C435" i="1"/>
  <c r="B435" i="1"/>
  <c r="A435" i="1"/>
  <c r="F434" i="1"/>
  <c r="E434" i="1"/>
  <c r="D434" i="1"/>
  <c r="C434" i="1"/>
  <c r="B434" i="1"/>
  <c r="A434" i="1"/>
  <c r="F433" i="1"/>
  <c r="E433" i="1"/>
  <c r="D433" i="1"/>
  <c r="C433" i="1"/>
  <c r="B433" i="1"/>
  <c r="A433" i="1"/>
  <c r="F432" i="1"/>
  <c r="E432" i="1"/>
  <c r="D432" i="1"/>
  <c r="C432" i="1"/>
  <c r="B432" i="1"/>
  <c r="A432" i="1"/>
  <c r="F431" i="1"/>
  <c r="E431" i="1"/>
  <c r="D431" i="1"/>
  <c r="C431" i="1"/>
  <c r="B431" i="1"/>
  <c r="A431" i="1"/>
  <c r="F430" i="1"/>
  <c r="E430" i="1"/>
  <c r="D430" i="1"/>
  <c r="C430" i="1"/>
  <c r="B430" i="1"/>
  <c r="A430" i="1"/>
  <c r="F429" i="1"/>
  <c r="E429" i="1"/>
  <c r="D429" i="1"/>
  <c r="C429" i="1"/>
  <c r="B429" i="1"/>
  <c r="A429" i="1"/>
  <c r="F428" i="1"/>
  <c r="E428" i="1"/>
  <c r="D428" i="1"/>
  <c r="C428" i="1"/>
  <c r="B428" i="1"/>
  <c r="A428" i="1"/>
  <c r="F427" i="1"/>
  <c r="E427" i="1"/>
  <c r="D427" i="1"/>
  <c r="C427" i="1"/>
  <c r="B427" i="1"/>
  <c r="A427" i="1"/>
  <c r="F426" i="1"/>
  <c r="E426" i="1"/>
  <c r="D426" i="1"/>
  <c r="C426" i="1"/>
  <c r="B426" i="1"/>
  <c r="A426" i="1"/>
  <c r="F425" i="1"/>
  <c r="E425" i="1"/>
  <c r="D425" i="1"/>
  <c r="C425" i="1"/>
  <c r="B425" i="1"/>
  <c r="A425" i="1"/>
  <c r="F424" i="1"/>
  <c r="E424" i="1"/>
  <c r="D424" i="1"/>
  <c r="C424" i="1"/>
  <c r="B424" i="1"/>
  <c r="A424" i="1"/>
  <c r="F423" i="1"/>
  <c r="E423" i="1"/>
  <c r="D423" i="1"/>
  <c r="C423" i="1"/>
  <c r="B423" i="1"/>
  <c r="A423" i="1"/>
  <c r="F422" i="1"/>
  <c r="E422" i="1"/>
  <c r="D422" i="1"/>
  <c r="C422" i="1"/>
  <c r="B422" i="1"/>
  <c r="A422" i="1"/>
  <c r="F421" i="1"/>
  <c r="E421" i="1"/>
  <c r="D421" i="1"/>
  <c r="C421" i="1"/>
  <c r="B421" i="1"/>
  <c r="A421" i="1"/>
  <c r="F420" i="1"/>
  <c r="E420" i="1"/>
  <c r="D420" i="1"/>
  <c r="C420" i="1"/>
  <c r="B420" i="1"/>
  <c r="A420" i="1"/>
  <c r="F419" i="1"/>
  <c r="E419" i="1"/>
  <c r="D419" i="1"/>
  <c r="C419" i="1"/>
  <c r="B419" i="1"/>
  <c r="A419" i="1"/>
  <c r="F418" i="1"/>
  <c r="E418" i="1"/>
  <c r="D418" i="1"/>
  <c r="C418" i="1"/>
  <c r="B418" i="1"/>
  <c r="A418" i="1"/>
  <c r="F417" i="1"/>
  <c r="E417" i="1"/>
  <c r="D417" i="1"/>
  <c r="C417" i="1"/>
  <c r="B417" i="1"/>
  <c r="A417" i="1"/>
  <c r="F416" i="1"/>
  <c r="E416" i="1"/>
  <c r="D416" i="1"/>
  <c r="C416" i="1"/>
  <c r="B416" i="1"/>
  <c r="A416" i="1"/>
  <c r="F415" i="1"/>
  <c r="E415" i="1"/>
  <c r="D415" i="1"/>
  <c r="C415" i="1"/>
  <c r="B415" i="1"/>
  <c r="A415" i="1"/>
  <c r="F414" i="1"/>
  <c r="E414" i="1"/>
  <c r="D414" i="1"/>
  <c r="C414" i="1"/>
  <c r="B414" i="1"/>
  <c r="A414" i="1"/>
  <c r="F413" i="1"/>
  <c r="E413" i="1"/>
  <c r="D413" i="1"/>
  <c r="C413" i="1"/>
  <c r="B413" i="1"/>
  <c r="A413" i="1"/>
  <c r="F412" i="1"/>
  <c r="E412" i="1"/>
  <c r="D412" i="1"/>
  <c r="C412" i="1"/>
  <c r="B412" i="1"/>
  <c r="A412" i="1"/>
  <c r="F411" i="1"/>
  <c r="E411" i="1"/>
  <c r="D411" i="1"/>
  <c r="C411" i="1"/>
  <c r="B411" i="1"/>
  <c r="A411" i="1"/>
  <c r="F410" i="1"/>
  <c r="E410" i="1"/>
  <c r="D410" i="1"/>
  <c r="C410" i="1"/>
  <c r="B410" i="1"/>
  <c r="A410" i="1"/>
  <c r="F409" i="1"/>
  <c r="E409" i="1"/>
  <c r="D409" i="1"/>
  <c r="C409" i="1"/>
  <c r="B409" i="1"/>
  <c r="A409" i="1"/>
  <c r="F408" i="1"/>
  <c r="E408" i="1"/>
  <c r="D408" i="1"/>
  <c r="C408" i="1"/>
  <c r="B408" i="1"/>
  <c r="A408" i="1"/>
  <c r="F407" i="1"/>
  <c r="E407" i="1"/>
  <c r="D407" i="1"/>
  <c r="C407" i="1"/>
  <c r="B407" i="1"/>
  <c r="A407" i="1"/>
  <c r="F406" i="1"/>
  <c r="E406" i="1"/>
  <c r="D406" i="1"/>
  <c r="C406" i="1"/>
  <c r="B406" i="1"/>
  <c r="A406" i="1"/>
  <c r="F405" i="1"/>
  <c r="E405" i="1"/>
  <c r="D405" i="1"/>
  <c r="C405" i="1"/>
  <c r="B405" i="1"/>
  <c r="A405" i="1"/>
  <c r="F404" i="1"/>
  <c r="E404" i="1"/>
  <c r="D404" i="1"/>
  <c r="C404" i="1"/>
  <c r="B404" i="1"/>
  <c r="A404" i="1"/>
  <c r="F403" i="1"/>
  <c r="E403" i="1"/>
  <c r="D403" i="1"/>
  <c r="C403" i="1"/>
  <c r="B403" i="1"/>
  <c r="A403" i="1"/>
  <c r="F402" i="1"/>
  <c r="E402" i="1"/>
  <c r="D402" i="1"/>
  <c r="C402" i="1"/>
  <c r="B402" i="1"/>
  <c r="A402" i="1"/>
  <c r="F401" i="1"/>
  <c r="E401" i="1"/>
  <c r="D401" i="1"/>
  <c r="C401" i="1"/>
  <c r="B401" i="1"/>
  <c r="A401" i="1"/>
  <c r="F400" i="1"/>
  <c r="E400" i="1"/>
  <c r="D400" i="1"/>
  <c r="C400" i="1"/>
  <c r="B400" i="1"/>
  <c r="A400" i="1"/>
  <c r="F399" i="1"/>
  <c r="E399" i="1"/>
  <c r="D399" i="1"/>
  <c r="C399" i="1"/>
  <c r="B399" i="1"/>
  <c r="A399" i="1"/>
  <c r="F398" i="1"/>
  <c r="E398" i="1"/>
  <c r="D398" i="1"/>
  <c r="C398" i="1"/>
  <c r="B398" i="1"/>
  <c r="A398" i="1"/>
  <c r="F397" i="1"/>
  <c r="E397" i="1"/>
  <c r="D397" i="1"/>
  <c r="C397" i="1"/>
  <c r="B397" i="1"/>
  <c r="A397" i="1"/>
  <c r="F396" i="1"/>
  <c r="E396" i="1"/>
  <c r="D396" i="1"/>
  <c r="C396" i="1"/>
  <c r="B396" i="1"/>
  <c r="A396" i="1"/>
  <c r="F395" i="1"/>
  <c r="E395" i="1"/>
  <c r="D395" i="1"/>
  <c r="C395" i="1"/>
  <c r="B395" i="1"/>
  <c r="A395" i="1"/>
  <c r="F394" i="1"/>
  <c r="E394" i="1"/>
  <c r="D394" i="1"/>
  <c r="C394" i="1"/>
  <c r="B394" i="1"/>
  <c r="A394" i="1"/>
  <c r="F393" i="1"/>
  <c r="E393" i="1"/>
  <c r="D393" i="1"/>
  <c r="C393" i="1"/>
  <c r="B393" i="1"/>
  <c r="A393" i="1"/>
  <c r="F392" i="1"/>
  <c r="E392" i="1"/>
  <c r="D392" i="1"/>
  <c r="C392" i="1"/>
  <c r="B392" i="1"/>
  <c r="A392" i="1"/>
  <c r="F391" i="1"/>
  <c r="E391" i="1"/>
  <c r="D391" i="1"/>
  <c r="C391" i="1"/>
  <c r="B391" i="1"/>
  <c r="A391" i="1"/>
  <c r="F390" i="1"/>
  <c r="E390" i="1"/>
  <c r="D390" i="1"/>
  <c r="C390" i="1"/>
  <c r="B390" i="1"/>
  <c r="A390" i="1"/>
  <c r="F389" i="1"/>
  <c r="E389" i="1"/>
  <c r="D389" i="1"/>
  <c r="C389" i="1"/>
  <c r="B389" i="1"/>
  <c r="A389" i="1"/>
  <c r="F388" i="1"/>
  <c r="E388" i="1"/>
  <c r="D388" i="1"/>
  <c r="C388" i="1"/>
  <c r="B388" i="1"/>
  <c r="A388" i="1"/>
  <c r="F387" i="1"/>
  <c r="E387" i="1"/>
  <c r="D387" i="1"/>
  <c r="C387" i="1"/>
  <c r="B387" i="1"/>
  <c r="A387" i="1"/>
  <c r="F386" i="1"/>
  <c r="E386" i="1"/>
  <c r="D386" i="1"/>
  <c r="C386" i="1"/>
  <c r="B386" i="1"/>
  <c r="A386" i="1"/>
  <c r="F385" i="1"/>
  <c r="E385" i="1"/>
  <c r="D385" i="1"/>
  <c r="C385" i="1"/>
  <c r="B385" i="1"/>
  <c r="A385" i="1"/>
  <c r="F384" i="1"/>
  <c r="E384" i="1"/>
  <c r="D384" i="1"/>
  <c r="C384" i="1"/>
  <c r="B384" i="1"/>
  <c r="A384" i="1"/>
  <c r="F383" i="1"/>
  <c r="E383" i="1"/>
  <c r="D383" i="1"/>
  <c r="C383" i="1"/>
  <c r="B383" i="1"/>
  <c r="A383" i="1"/>
  <c r="F382" i="1"/>
  <c r="E382" i="1"/>
  <c r="D382" i="1"/>
  <c r="C382" i="1"/>
  <c r="B382" i="1"/>
  <c r="A382" i="1"/>
  <c r="F381" i="1"/>
  <c r="E381" i="1"/>
  <c r="D381" i="1"/>
  <c r="C381" i="1"/>
  <c r="B381" i="1"/>
  <c r="A381" i="1"/>
  <c r="F380" i="1"/>
  <c r="E380" i="1"/>
  <c r="D380" i="1"/>
  <c r="C380" i="1"/>
  <c r="B380" i="1"/>
  <c r="A380" i="1"/>
  <c r="F379" i="1"/>
  <c r="E379" i="1"/>
  <c r="D379" i="1"/>
  <c r="C379" i="1"/>
  <c r="B379" i="1"/>
  <c r="A379" i="1"/>
  <c r="F378" i="1"/>
  <c r="E378" i="1"/>
  <c r="D378" i="1"/>
  <c r="C378" i="1"/>
  <c r="B378" i="1"/>
  <c r="A378" i="1"/>
  <c r="F377" i="1"/>
  <c r="E377" i="1"/>
  <c r="D377" i="1"/>
  <c r="C377" i="1"/>
  <c r="B377" i="1"/>
  <c r="A377" i="1"/>
  <c r="F376" i="1"/>
  <c r="E376" i="1"/>
  <c r="D376" i="1"/>
  <c r="C376" i="1"/>
  <c r="B376" i="1"/>
  <c r="A376" i="1"/>
  <c r="F375" i="1"/>
  <c r="E375" i="1"/>
  <c r="D375" i="1"/>
  <c r="C375" i="1"/>
  <c r="B375" i="1"/>
  <c r="A375" i="1"/>
  <c r="F374" i="1"/>
  <c r="E374" i="1"/>
  <c r="D374" i="1"/>
  <c r="C374" i="1"/>
  <c r="B374" i="1"/>
  <c r="A374" i="1"/>
  <c r="F373" i="1"/>
  <c r="E373" i="1"/>
  <c r="D373" i="1"/>
  <c r="C373" i="1"/>
  <c r="B373" i="1"/>
  <c r="A373" i="1"/>
  <c r="F372" i="1"/>
  <c r="E372" i="1"/>
  <c r="D372" i="1"/>
  <c r="C372" i="1"/>
  <c r="B372" i="1"/>
  <c r="A372" i="1"/>
  <c r="F371" i="1"/>
  <c r="E371" i="1"/>
  <c r="D371" i="1"/>
  <c r="C371" i="1"/>
  <c r="B371" i="1"/>
  <c r="A371" i="1"/>
  <c r="F370" i="1"/>
  <c r="E370" i="1"/>
  <c r="D370" i="1"/>
  <c r="C370" i="1"/>
  <c r="B370" i="1"/>
  <c r="A370" i="1"/>
  <c r="F369" i="1"/>
  <c r="E369" i="1"/>
  <c r="D369" i="1"/>
  <c r="C369" i="1"/>
  <c r="B369" i="1"/>
  <c r="A369" i="1"/>
  <c r="F368" i="1"/>
  <c r="E368" i="1"/>
  <c r="D368" i="1"/>
  <c r="C368" i="1"/>
  <c r="B368" i="1"/>
  <c r="A368" i="1"/>
  <c r="F367" i="1"/>
  <c r="E367" i="1"/>
  <c r="D367" i="1"/>
  <c r="C367" i="1"/>
  <c r="B367" i="1"/>
  <c r="A367" i="1"/>
  <c r="F366" i="1"/>
  <c r="E366" i="1"/>
  <c r="D366" i="1"/>
  <c r="C366" i="1"/>
  <c r="B366" i="1"/>
  <c r="A366" i="1"/>
  <c r="F365" i="1"/>
  <c r="E365" i="1"/>
  <c r="D365" i="1"/>
  <c r="C365" i="1"/>
  <c r="B365" i="1"/>
  <c r="A365" i="1"/>
  <c r="F364" i="1"/>
  <c r="E364" i="1"/>
  <c r="D364" i="1"/>
  <c r="C364" i="1"/>
  <c r="B364" i="1"/>
  <c r="A364" i="1"/>
  <c r="F363" i="1"/>
  <c r="E363" i="1"/>
  <c r="D363" i="1"/>
  <c r="C363" i="1"/>
  <c r="B363" i="1"/>
  <c r="A363" i="1"/>
  <c r="F362" i="1"/>
  <c r="E362" i="1"/>
  <c r="D362" i="1"/>
  <c r="C362" i="1"/>
  <c r="B362" i="1"/>
  <c r="A362" i="1"/>
  <c r="F361" i="1"/>
  <c r="E361" i="1"/>
  <c r="D361" i="1"/>
  <c r="C361" i="1"/>
  <c r="B361" i="1"/>
  <c r="A361" i="1"/>
  <c r="F360" i="1"/>
  <c r="E360" i="1"/>
  <c r="D360" i="1"/>
  <c r="C360" i="1"/>
  <c r="B360" i="1"/>
  <c r="A360" i="1"/>
  <c r="F359" i="1"/>
  <c r="E359" i="1"/>
  <c r="D359" i="1"/>
  <c r="C359" i="1"/>
  <c r="B359" i="1"/>
  <c r="A359" i="1"/>
  <c r="F358" i="1"/>
  <c r="E358" i="1"/>
  <c r="D358" i="1"/>
  <c r="C358" i="1"/>
  <c r="B358" i="1"/>
  <c r="A358" i="1"/>
  <c r="F357" i="1"/>
  <c r="E357" i="1"/>
  <c r="D357" i="1"/>
  <c r="C357" i="1"/>
  <c r="B357" i="1"/>
  <c r="A357" i="1"/>
  <c r="F356" i="1"/>
  <c r="E356" i="1"/>
  <c r="D356" i="1"/>
  <c r="C356" i="1"/>
  <c r="B356" i="1"/>
  <c r="A356" i="1"/>
  <c r="F355" i="1"/>
  <c r="E355" i="1"/>
  <c r="D355" i="1"/>
  <c r="C355" i="1"/>
  <c r="B355" i="1"/>
  <c r="A355" i="1"/>
  <c r="F354" i="1"/>
  <c r="E354" i="1"/>
  <c r="D354" i="1"/>
  <c r="C354" i="1"/>
  <c r="B354" i="1"/>
  <c r="A354" i="1"/>
  <c r="F353" i="1"/>
  <c r="E353" i="1"/>
  <c r="D353" i="1"/>
  <c r="C353" i="1"/>
  <c r="B353" i="1"/>
  <c r="A353" i="1"/>
  <c r="F352" i="1"/>
  <c r="E352" i="1"/>
  <c r="D352" i="1"/>
  <c r="C352" i="1"/>
  <c r="B352" i="1"/>
  <c r="A352" i="1"/>
  <c r="F351" i="1"/>
  <c r="E351" i="1"/>
  <c r="D351" i="1"/>
  <c r="C351" i="1"/>
  <c r="B351" i="1"/>
  <c r="A351" i="1"/>
  <c r="F350" i="1"/>
  <c r="E350" i="1"/>
  <c r="D350" i="1"/>
  <c r="C350" i="1"/>
  <c r="B350" i="1"/>
  <c r="A350" i="1"/>
  <c r="F349" i="1"/>
  <c r="E349" i="1"/>
  <c r="D349" i="1"/>
  <c r="C349" i="1"/>
  <c r="B349" i="1"/>
  <c r="A349" i="1"/>
  <c r="F348" i="1"/>
  <c r="E348" i="1"/>
  <c r="D348" i="1"/>
  <c r="C348" i="1"/>
  <c r="B348" i="1"/>
  <c r="A348" i="1"/>
  <c r="F347" i="1"/>
  <c r="E347" i="1"/>
  <c r="D347" i="1"/>
  <c r="C347" i="1"/>
  <c r="B347" i="1"/>
  <c r="A347" i="1"/>
  <c r="F346" i="1"/>
  <c r="E346" i="1"/>
  <c r="D346" i="1"/>
  <c r="C346" i="1"/>
  <c r="B346" i="1"/>
  <c r="A346" i="1"/>
  <c r="F345" i="1"/>
  <c r="E345" i="1"/>
  <c r="D345" i="1"/>
  <c r="C345" i="1"/>
  <c r="B345" i="1"/>
  <c r="A345" i="1"/>
  <c r="F344" i="1"/>
  <c r="E344" i="1"/>
  <c r="D344" i="1"/>
  <c r="C344" i="1"/>
  <c r="B344" i="1"/>
  <c r="A344" i="1"/>
  <c r="F343" i="1"/>
  <c r="E343" i="1"/>
  <c r="D343" i="1"/>
  <c r="C343" i="1"/>
  <c r="B343" i="1"/>
  <c r="A343" i="1"/>
  <c r="F342" i="1"/>
  <c r="E342" i="1"/>
  <c r="D342" i="1"/>
  <c r="C342" i="1"/>
  <c r="B342" i="1"/>
  <c r="A342" i="1"/>
  <c r="F341" i="1"/>
  <c r="E341" i="1"/>
  <c r="D341" i="1"/>
  <c r="C341" i="1"/>
  <c r="B341" i="1"/>
  <c r="A341" i="1"/>
  <c r="F340" i="1"/>
  <c r="E340" i="1"/>
  <c r="D340" i="1"/>
  <c r="C340" i="1"/>
  <c r="B340" i="1"/>
  <c r="A340" i="1"/>
  <c r="F339" i="1"/>
  <c r="E339" i="1"/>
  <c r="D339" i="1"/>
  <c r="C339" i="1"/>
  <c r="B339" i="1"/>
  <c r="A339" i="1"/>
  <c r="F338" i="1"/>
  <c r="E338" i="1"/>
  <c r="D338" i="1"/>
  <c r="C338" i="1"/>
  <c r="B338" i="1"/>
  <c r="A338" i="1"/>
  <c r="F337" i="1"/>
  <c r="E337" i="1"/>
  <c r="D337" i="1"/>
  <c r="C337" i="1"/>
  <c r="B337" i="1"/>
  <c r="A337" i="1"/>
  <c r="F336" i="1"/>
  <c r="E336" i="1"/>
  <c r="D336" i="1"/>
  <c r="C336" i="1"/>
  <c r="B336" i="1"/>
  <c r="A336" i="1"/>
  <c r="F335" i="1"/>
  <c r="E335" i="1"/>
  <c r="D335" i="1"/>
  <c r="C335" i="1"/>
  <c r="B335" i="1"/>
  <c r="A335" i="1"/>
  <c r="F334" i="1"/>
  <c r="E334" i="1"/>
  <c r="D334" i="1"/>
  <c r="C334" i="1"/>
  <c r="B334" i="1"/>
  <c r="A334" i="1"/>
  <c r="F333" i="1"/>
  <c r="E333" i="1"/>
  <c r="D333" i="1"/>
  <c r="C333" i="1"/>
  <c r="B333" i="1"/>
  <c r="A333" i="1"/>
  <c r="F332" i="1"/>
  <c r="E332" i="1"/>
  <c r="D332" i="1"/>
  <c r="C332" i="1"/>
  <c r="B332" i="1"/>
  <c r="A332" i="1"/>
  <c r="F331" i="1"/>
  <c r="E331" i="1"/>
  <c r="D331" i="1"/>
  <c r="C331" i="1"/>
  <c r="B331" i="1"/>
  <c r="A331" i="1"/>
  <c r="F330" i="1"/>
  <c r="E330" i="1"/>
  <c r="D330" i="1"/>
  <c r="C330" i="1"/>
  <c r="B330" i="1"/>
  <c r="A330" i="1"/>
  <c r="F329" i="1"/>
  <c r="E329" i="1"/>
  <c r="D329" i="1"/>
  <c r="C329" i="1"/>
  <c r="B329" i="1"/>
  <c r="A329" i="1"/>
  <c r="F328" i="1"/>
  <c r="E328" i="1"/>
  <c r="D328" i="1"/>
  <c r="C328" i="1"/>
  <c r="B328" i="1"/>
  <c r="A328" i="1"/>
  <c r="F327" i="1"/>
  <c r="E327" i="1"/>
  <c r="D327" i="1"/>
  <c r="C327" i="1"/>
  <c r="B327" i="1"/>
  <c r="A327" i="1"/>
  <c r="F326" i="1"/>
  <c r="E326" i="1"/>
  <c r="D326" i="1"/>
  <c r="C326" i="1"/>
  <c r="B326" i="1"/>
  <c r="A326" i="1"/>
  <c r="F325" i="1"/>
  <c r="E325" i="1"/>
  <c r="D325" i="1"/>
  <c r="C325" i="1"/>
  <c r="B325" i="1"/>
  <c r="A325" i="1"/>
  <c r="F324" i="1"/>
  <c r="E324" i="1"/>
  <c r="D324" i="1"/>
  <c r="C324" i="1"/>
  <c r="B324" i="1"/>
  <c r="A324" i="1"/>
  <c r="F323" i="1"/>
  <c r="E323" i="1"/>
  <c r="D323" i="1"/>
  <c r="C323" i="1"/>
  <c r="B323" i="1"/>
  <c r="A323" i="1"/>
  <c r="F322" i="1"/>
  <c r="E322" i="1"/>
  <c r="D322" i="1"/>
  <c r="C322" i="1"/>
  <c r="B322" i="1"/>
  <c r="A322" i="1"/>
  <c r="F321" i="1"/>
  <c r="E321" i="1"/>
  <c r="D321" i="1"/>
  <c r="C321" i="1"/>
  <c r="B321" i="1"/>
  <c r="A321" i="1"/>
  <c r="F320" i="1"/>
  <c r="E320" i="1"/>
  <c r="D320" i="1"/>
  <c r="C320" i="1"/>
  <c r="B320" i="1"/>
  <c r="A320" i="1"/>
  <c r="F319" i="1"/>
  <c r="E319" i="1"/>
  <c r="D319" i="1"/>
  <c r="C319" i="1"/>
  <c r="B319" i="1"/>
  <c r="A319" i="1"/>
  <c r="F318" i="1"/>
  <c r="E318" i="1"/>
  <c r="D318" i="1"/>
  <c r="C318" i="1"/>
  <c r="B318" i="1"/>
  <c r="A318" i="1"/>
  <c r="F317" i="1"/>
  <c r="E317" i="1"/>
  <c r="D317" i="1"/>
  <c r="C317" i="1"/>
  <c r="B317" i="1"/>
  <c r="A317" i="1"/>
  <c r="F316" i="1"/>
  <c r="E316" i="1"/>
  <c r="D316" i="1"/>
  <c r="C316" i="1"/>
  <c r="B316" i="1"/>
  <c r="A316" i="1"/>
  <c r="F315" i="1"/>
  <c r="E315" i="1"/>
  <c r="D315" i="1"/>
  <c r="C315" i="1"/>
  <c r="B315" i="1"/>
  <c r="A315" i="1"/>
  <c r="F314" i="1"/>
  <c r="E314" i="1"/>
  <c r="D314" i="1"/>
  <c r="C314" i="1"/>
  <c r="B314" i="1"/>
  <c r="A314" i="1"/>
  <c r="F313" i="1"/>
  <c r="E313" i="1"/>
  <c r="D313" i="1"/>
  <c r="C313" i="1"/>
  <c r="B313" i="1"/>
  <c r="A313" i="1"/>
  <c r="F312" i="1"/>
  <c r="E312" i="1"/>
  <c r="D312" i="1"/>
  <c r="C312" i="1"/>
  <c r="B312" i="1"/>
  <c r="A312" i="1"/>
  <c r="F311" i="1"/>
  <c r="E311" i="1"/>
  <c r="D311" i="1"/>
  <c r="C311" i="1"/>
  <c r="B311" i="1"/>
  <c r="A311" i="1"/>
  <c r="F310" i="1"/>
  <c r="E310" i="1"/>
  <c r="D310" i="1"/>
  <c r="C310" i="1"/>
  <c r="B310" i="1"/>
  <c r="A310" i="1"/>
  <c r="F309" i="1"/>
  <c r="E309" i="1"/>
  <c r="D309" i="1"/>
  <c r="C309" i="1"/>
  <c r="B309" i="1"/>
  <c r="A309" i="1"/>
  <c r="F308" i="1"/>
  <c r="E308" i="1"/>
  <c r="D308" i="1"/>
  <c r="C308" i="1"/>
  <c r="B308" i="1"/>
  <c r="A308" i="1"/>
  <c r="F307" i="1"/>
  <c r="E307" i="1"/>
  <c r="D307" i="1"/>
  <c r="C307" i="1"/>
  <c r="B307" i="1"/>
  <c r="A307" i="1"/>
  <c r="F306" i="1"/>
  <c r="E306" i="1"/>
  <c r="D306" i="1"/>
  <c r="C306" i="1"/>
  <c r="B306" i="1"/>
  <c r="A306" i="1"/>
  <c r="F305" i="1"/>
  <c r="E305" i="1"/>
  <c r="D305" i="1"/>
  <c r="C305" i="1"/>
  <c r="B305" i="1"/>
  <c r="A305" i="1"/>
  <c r="F304" i="1"/>
  <c r="E304" i="1"/>
  <c r="D304" i="1"/>
  <c r="C304" i="1"/>
  <c r="B304" i="1"/>
  <c r="A304" i="1"/>
  <c r="F303" i="1"/>
  <c r="E303" i="1"/>
  <c r="D303" i="1"/>
  <c r="C303" i="1"/>
  <c r="B303" i="1"/>
  <c r="A303" i="1"/>
  <c r="F302" i="1"/>
  <c r="E302" i="1"/>
  <c r="D302" i="1"/>
  <c r="C302" i="1"/>
  <c r="B302" i="1"/>
  <c r="A302" i="1"/>
  <c r="F301" i="1"/>
  <c r="E301" i="1"/>
  <c r="D301" i="1"/>
  <c r="C301" i="1"/>
  <c r="B301" i="1"/>
  <c r="A301" i="1"/>
  <c r="F300" i="1"/>
  <c r="E300" i="1"/>
  <c r="D300" i="1"/>
  <c r="C300" i="1"/>
  <c r="B300" i="1"/>
  <c r="A300" i="1"/>
  <c r="F299" i="1"/>
  <c r="E299" i="1"/>
  <c r="D299" i="1"/>
  <c r="C299" i="1"/>
  <c r="B299" i="1"/>
  <c r="A299" i="1"/>
  <c r="F298" i="1"/>
  <c r="E298" i="1"/>
  <c r="D298" i="1"/>
  <c r="C298" i="1"/>
  <c r="B298" i="1"/>
  <c r="A298" i="1"/>
  <c r="F297" i="1"/>
  <c r="E297" i="1"/>
  <c r="D297" i="1"/>
  <c r="C297" i="1"/>
  <c r="B297" i="1"/>
  <c r="A297" i="1"/>
  <c r="F296" i="1"/>
  <c r="E296" i="1"/>
  <c r="D296" i="1"/>
  <c r="C296" i="1"/>
  <c r="B296" i="1"/>
  <c r="A296" i="1"/>
  <c r="F295" i="1"/>
  <c r="E295" i="1"/>
  <c r="D295" i="1"/>
  <c r="C295" i="1"/>
  <c r="B295" i="1"/>
  <c r="A295" i="1"/>
  <c r="F294" i="1"/>
  <c r="E294" i="1"/>
  <c r="D294" i="1"/>
  <c r="C294" i="1"/>
  <c r="B294" i="1"/>
  <c r="A294" i="1"/>
  <c r="F293" i="1"/>
  <c r="E293" i="1"/>
  <c r="D293" i="1"/>
  <c r="C293" i="1"/>
  <c r="B293" i="1"/>
  <c r="A293" i="1"/>
  <c r="F292" i="1"/>
  <c r="E292" i="1"/>
  <c r="D292" i="1"/>
  <c r="C292" i="1"/>
  <c r="B292" i="1"/>
  <c r="A292" i="1"/>
  <c r="F291" i="1"/>
  <c r="E291" i="1"/>
  <c r="D291" i="1"/>
  <c r="C291" i="1"/>
  <c r="B291" i="1"/>
  <c r="A291" i="1"/>
  <c r="F290" i="1"/>
  <c r="E290" i="1"/>
  <c r="D290" i="1"/>
  <c r="C290" i="1"/>
  <c r="B290" i="1"/>
  <c r="A290" i="1"/>
  <c r="F289" i="1"/>
  <c r="E289" i="1"/>
  <c r="D289" i="1"/>
  <c r="C289" i="1"/>
  <c r="B289" i="1"/>
  <c r="A289" i="1"/>
  <c r="F288" i="1"/>
  <c r="E288" i="1"/>
  <c r="D288" i="1"/>
  <c r="C288" i="1"/>
  <c r="B288" i="1"/>
  <c r="A288" i="1"/>
  <c r="F287" i="1"/>
  <c r="E287" i="1"/>
  <c r="D287" i="1"/>
  <c r="C287" i="1"/>
  <c r="B287" i="1"/>
  <c r="A287" i="1"/>
  <c r="F286" i="1"/>
  <c r="E286" i="1"/>
  <c r="D286" i="1"/>
  <c r="C286" i="1"/>
  <c r="B286" i="1"/>
  <c r="A286" i="1"/>
  <c r="F285" i="1"/>
  <c r="E285" i="1"/>
  <c r="D285" i="1"/>
  <c r="C285" i="1"/>
  <c r="B285" i="1"/>
  <c r="A285" i="1"/>
  <c r="F284" i="1"/>
  <c r="E284" i="1"/>
  <c r="D284" i="1"/>
  <c r="C284" i="1"/>
  <c r="B284" i="1"/>
  <c r="A284" i="1"/>
  <c r="F283" i="1"/>
  <c r="E283" i="1"/>
  <c r="D283" i="1"/>
  <c r="C283" i="1"/>
  <c r="B283" i="1"/>
  <c r="A283" i="1"/>
  <c r="F282" i="1"/>
  <c r="E282" i="1"/>
  <c r="D282" i="1"/>
  <c r="C282" i="1"/>
  <c r="B282" i="1"/>
  <c r="A282" i="1"/>
  <c r="F281" i="1"/>
  <c r="E281" i="1"/>
  <c r="D281" i="1"/>
  <c r="C281" i="1"/>
  <c r="B281" i="1"/>
  <c r="A281" i="1"/>
  <c r="F280" i="1"/>
  <c r="E280" i="1"/>
  <c r="D280" i="1"/>
  <c r="C280" i="1"/>
  <c r="B280" i="1"/>
  <c r="A280" i="1"/>
  <c r="F279" i="1"/>
  <c r="E279" i="1"/>
  <c r="D279" i="1"/>
  <c r="C279" i="1"/>
  <c r="B279" i="1"/>
  <c r="A279" i="1"/>
  <c r="F278" i="1"/>
  <c r="E278" i="1"/>
  <c r="D278" i="1"/>
  <c r="C278" i="1"/>
  <c r="B278" i="1"/>
  <c r="A278" i="1"/>
  <c r="F277" i="1"/>
  <c r="E277" i="1"/>
  <c r="D277" i="1"/>
  <c r="C277" i="1"/>
  <c r="B277" i="1"/>
  <c r="A277" i="1"/>
  <c r="F276" i="1"/>
  <c r="E276" i="1"/>
  <c r="D276" i="1"/>
  <c r="C276" i="1"/>
  <c r="B276" i="1"/>
  <c r="A276" i="1"/>
  <c r="F275" i="1"/>
  <c r="E275" i="1"/>
  <c r="D275" i="1"/>
  <c r="C275" i="1"/>
  <c r="B275" i="1"/>
  <c r="A275" i="1"/>
  <c r="F274" i="1"/>
  <c r="E274" i="1"/>
  <c r="D274" i="1"/>
  <c r="C274" i="1"/>
  <c r="B274" i="1"/>
  <c r="A274" i="1"/>
  <c r="F273" i="1"/>
  <c r="E273" i="1"/>
  <c r="D273" i="1"/>
  <c r="C273" i="1"/>
  <c r="B273" i="1"/>
  <c r="A273" i="1"/>
  <c r="F272" i="1"/>
  <c r="E272" i="1"/>
  <c r="D272" i="1"/>
  <c r="C272" i="1"/>
  <c r="B272" i="1"/>
  <c r="A272" i="1"/>
  <c r="F271" i="1"/>
  <c r="E271" i="1"/>
  <c r="D271" i="1"/>
  <c r="C271" i="1"/>
  <c r="B271" i="1"/>
  <c r="A271" i="1"/>
  <c r="F270" i="1"/>
  <c r="E270" i="1"/>
  <c r="D270" i="1"/>
  <c r="C270" i="1"/>
  <c r="B270" i="1"/>
  <c r="A270" i="1"/>
  <c r="F269" i="1"/>
  <c r="E269" i="1"/>
  <c r="D269" i="1"/>
  <c r="C269" i="1"/>
  <c r="B269" i="1"/>
  <c r="A269" i="1"/>
  <c r="F268" i="1"/>
  <c r="E268" i="1"/>
  <c r="D268" i="1"/>
  <c r="C268" i="1"/>
  <c r="B268" i="1"/>
  <c r="A268" i="1"/>
  <c r="F267" i="1"/>
  <c r="E267" i="1"/>
  <c r="D267" i="1"/>
  <c r="C267" i="1"/>
  <c r="B267" i="1"/>
  <c r="A267" i="1"/>
  <c r="F266" i="1"/>
  <c r="E266" i="1"/>
  <c r="D266" i="1"/>
  <c r="C266" i="1"/>
  <c r="B266" i="1"/>
  <c r="A266" i="1"/>
  <c r="F265" i="1"/>
  <c r="E265" i="1"/>
  <c r="D265" i="1"/>
  <c r="C265" i="1"/>
  <c r="B265" i="1"/>
  <c r="A265" i="1"/>
  <c r="F264" i="1"/>
  <c r="E264" i="1"/>
  <c r="D264" i="1"/>
  <c r="C264" i="1"/>
  <c r="B264" i="1"/>
  <c r="A264" i="1"/>
  <c r="F263" i="1"/>
  <c r="E263" i="1"/>
  <c r="D263" i="1"/>
  <c r="C263" i="1"/>
  <c r="B263" i="1"/>
  <c r="A263" i="1"/>
  <c r="F262" i="1"/>
  <c r="E262" i="1"/>
  <c r="D262" i="1"/>
  <c r="C262" i="1"/>
  <c r="B262" i="1"/>
  <c r="A262" i="1"/>
  <c r="F261" i="1"/>
  <c r="E261" i="1"/>
  <c r="D261" i="1"/>
  <c r="C261" i="1"/>
  <c r="B261" i="1"/>
  <c r="A261" i="1"/>
  <c r="F260" i="1"/>
  <c r="E260" i="1"/>
  <c r="D260" i="1"/>
  <c r="C260" i="1"/>
  <c r="B260" i="1"/>
  <c r="A260" i="1"/>
  <c r="F259" i="1"/>
  <c r="E259" i="1"/>
  <c r="D259" i="1"/>
  <c r="C259" i="1"/>
  <c r="B259" i="1"/>
  <c r="A259" i="1"/>
  <c r="F258" i="1"/>
  <c r="E258" i="1"/>
  <c r="D258" i="1"/>
  <c r="C258" i="1"/>
  <c r="B258" i="1"/>
  <c r="A258" i="1"/>
  <c r="F257" i="1"/>
  <c r="E257" i="1"/>
  <c r="D257" i="1"/>
  <c r="C257" i="1"/>
  <c r="B257" i="1"/>
  <c r="A257" i="1"/>
  <c r="F256" i="1"/>
  <c r="E256" i="1"/>
  <c r="D256" i="1"/>
  <c r="C256" i="1"/>
  <c r="B256" i="1"/>
  <c r="A256" i="1"/>
  <c r="F255" i="1"/>
  <c r="E255" i="1"/>
  <c r="D255" i="1"/>
  <c r="C255" i="1"/>
  <c r="B255" i="1"/>
  <c r="A255" i="1"/>
  <c r="F254" i="1"/>
  <c r="E254" i="1"/>
  <c r="D254" i="1"/>
  <c r="C254" i="1"/>
  <c r="B254" i="1"/>
  <c r="A254" i="1"/>
  <c r="F253" i="1"/>
  <c r="E253" i="1"/>
  <c r="D253" i="1"/>
  <c r="C253" i="1"/>
  <c r="B253" i="1"/>
  <c r="A253" i="1"/>
  <c r="F252" i="1"/>
  <c r="E252" i="1"/>
  <c r="D252" i="1"/>
  <c r="C252" i="1"/>
  <c r="B252" i="1"/>
  <c r="A252" i="1"/>
  <c r="F251" i="1"/>
  <c r="E251" i="1"/>
  <c r="D251" i="1"/>
  <c r="C251" i="1"/>
  <c r="B251" i="1"/>
  <c r="A251" i="1"/>
  <c r="F250" i="1"/>
  <c r="E250" i="1"/>
  <c r="D250" i="1"/>
  <c r="C250" i="1"/>
  <c r="B250" i="1"/>
  <c r="A250" i="1"/>
  <c r="F249" i="1"/>
  <c r="E249" i="1"/>
  <c r="D249" i="1"/>
  <c r="C249" i="1"/>
  <c r="B249" i="1"/>
  <c r="A249" i="1"/>
  <c r="F248" i="1"/>
  <c r="E248" i="1"/>
  <c r="D248" i="1"/>
  <c r="C248" i="1"/>
  <c r="B248" i="1"/>
  <c r="A248" i="1"/>
  <c r="F247" i="1"/>
  <c r="E247" i="1"/>
  <c r="D247" i="1"/>
  <c r="C247" i="1"/>
  <c r="B247" i="1"/>
  <c r="A247" i="1"/>
  <c r="F246" i="1"/>
  <c r="E246" i="1"/>
  <c r="D246" i="1"/>
  <c r="C246" i="1"/>
  <c r="B246" i="1"/>
  <c r="A246" i="1"/>
  <c r="F245" i="1"/>
  <c r="E245" i="1"/>
  <c r="D245" i="1"/>
  <c r="C245" i="1"/>
  <c r="B245" i="1"/>
  <c r="A245" i="1"/>
  <c r="F244" i="1"/>
  <c r="E244" i="1"/>
  <c r="D244" i="1"/>
  <c r="C244" i="1"/>
  <c r="B244" i="1"/>
  <c r="A244" i="1"/>
  <c r="F243" i="1"/>
  <c r="E243" i="1"/>
  <c r="D243" i="1"/>
  <c r="C243" i="1"/>
  <c r="B243" i="1"/>
  <c r="A243" i="1"/>
  <c r="F242" i="1"/>
  <c r="E242" i="1"/>
  <c r="D242" i="1"/>
  <c r="C242" i="1"/>
  <c r="B242" i="1"/>
  <c r="A242" i="1"/>
  <c r="F241" i="1"/>
  <c r="E241" i="1"/>
  <c r="D241" i="1"/>
  <c r="C241" i="1"/>
  <c r="B241" i="1"/>
  <c r="A241" i="1"/>
  <c r="F240" i="1"/>
  <c r="E240" i="1"/>
  <c r="D240" i="1"/>
  <c r="C240" i="1"/>
  <c r="B240" i="1"/>
  <c r="A240" i="1"/>
  <c r="F239" i="1"/>
  <c r="E239" i="1"/>
  <c r="D239" i="1"/>
  <c r="C239" i="1"/>
  <c r="B239" i="1"/>
  <c r="A239" i="1"/>
  <c r="F238" i="1"/>
  <c r="E238" i="1"/>
  <c r="D238" i="1"/>
  <c r="C238" i="1"/>
  <c r="B238" i="1"/>
  <c r="A238" i="1"/>
  <c r="F237" i="1"/>
  <c r="E237" i="1"/>
  <c r="D237" i="1"/>
  <c r="C237" i="1"/>
  <c r="B237" i="1"/>
  <c r="A237" i="1"/>
  <c r="F236" i="1"/>
  <c r="E236" i="1"/>
  <c r="D236" i="1"/>
  <c r="C236" i="1"/>
  <c r="B236" i="1"/>
  <c r="A236" i="1"/>
  <c r="F235" i="1"/>
  <c r="E235" i="1"/>
  <c r="D235" i="1"/>
  <c r="C235" i="1"/>
  <c r="B235" i="1"/>
  <c r="A235" i="1"/>
  <c r="F234" i="1"/>
  <c r="E234" i="1"/>
  <c r="D234" i="1"/>
  <c r="C234" i="1"/>
  <c r="B234" i="1"/>
  <c r="A234" i="1"/>
  <c r="F233" i="1"/>
  <c r="E233" i="1"/>
  <c r="D233" i="1"/>
  <c r="C233" i="1"/>
  <c r="B233" i="1"/>
  <c r="A233" i="1"/>
  <c r="F232" i="1"/>
  <c r="E232" i="1"/>
  <c r="D232" i="1"/>
  <c r="C232" i="1"/>
  <c r="B232" i="1"/>
  <c r="A232" i="1"/>
  <c r="F231" i="1"/>
  <c r="E231" i="1"/>
  <c r="D231" i="1"/>
  <c r="C231" i="1"/>
  <c r="B231" i="1"/>
  <c r="A231" i="1"/>
  <c r="F230" i="1"/>
  <c r="E230" i="1"/>
  <c r="D230" i="1"/>
  <c r="C230" i="1"/>
  <c r="B230" i="1"/>
  <c r="A230" i="1"/>
  <c r="F229" i="1"/>
  <c r="E229" i="1"/>
  <c r="D229" i="1"/>
  <c r="C229" i="1"/>
  <c r="B229" i="1"/>
  <c r="A229" i="1"/>
  <c r="F228" i="1"/>
  <c r="E228" i="1"/>
  <c r="D228" i="1"/>
  <c r="C228" i="1"/>
  <c r="B228" i="1"/>
  <c r="A228" i="1"/>
  <c r="F227" i="1"/>
  <c r="E227" i="1"/>
  <c r="D227" i="1"/>
  <c r="C227" i="1"/>
  <c r="B227" i="1"/>
  <c r="A227" i="1"/>
  <c r="F226" i="1"/>
  <c r="E226" i="1"/>
  <c r="D226" i="1"/>
  <c r="C226" i="1"/>
  <c r="B226" i="1"/>
  <c r="A226" i="1"/>
  <c r="F225" i="1"/>
  <c r="E225" i="1"/>
  <c r="D225" i="1"/>
  <c r="C225" i="1"/>
  <c r="B225" i="1"/>
  <c r="A225" i="1"/>
  <c r="F224" i="1"/>
  <c r="E224" i="1"/>
  <c r="D224" i="1"/>
  <c r="C224" i="1"/>
  <c r="B224" i="1"/>
  <c r="A224" i="1"/>
  <c r="F223" i="1"/>
  <c r="E223" i="1"/>
  <c r="D223" i="1"/>
  <c r="C223" i="1"/>
  <c r="B223" i="1"/>
  <c r="A223" i="1"/>
  <c r="F222" i="1"/>
  <c r="E222" i="1"/>
  <c r="D222" i="1"/>
  <c r="C222" i="1"/>
  <c r="B222" i="1"/>
  <c r="A222" i="1"/>
  <c r="F221" i="1"/>
  <c r="E221" i="1"/>
  <c r="D221" i="1"/>
  <c r="C221" i="1"/>
  <c r="B221" i="1"/>
  <c r="A221" i="1"/>
  <c r="F220" i="1"/>
  <c r="E220" i="1"/>
  <c r="D220" i="1"/>
  <c r="C220" i="1"/>
  <c r="B220" i="1"/>
  <c r="A220" i="1"/>
  <c r="F219" i="1"/>
  <c r="E219" i="1"/>
  <c r="D219" i="1"/>
  <c r="C219" i="1"/>
  <c r="B219" i="1"/>
  <c r="A219" i="1"/>
  <c r="F218" i="1"/>
  <c r="E218" i="1"/>
  <c r="D218" i="1"/>
  <c r="C218" i="1"/>
  <c r="B218" i="1"/>
  <c r="A218" i="1"/>
  <c r="F217" i="1"/>
  <c r="E217" i="1"/>
  <c r="D217" i="1"/>
  <c r="C217" i="1"/>
  <c r="B217" i="1"/>
  <c r="A217" i="1"/>
  <c r="F216" i="1"/>
  <c r="E216" i="1"/>
  <c r="D216" i="1"/>
  <c r="C216" i="1"/>
  <c r="B216" i="1"/>
  <c r="A216" i="1"/>
  <c r="F215" i="1"/>
  <c r="E215" i="1"/>
  <c r="D215" i="1"/>
  <c r="C215" i="1"/>
  <c r="B215" i="1"/>
  <c r="A215" i="1"/>
  <c r="F214" i="1"/>
  <c r="E214" i="1"/>
  <c r="D214" i="1"/>
  <c r="C214" i="1"/>
  <c r="B214" i="1"/>
  <c r="A214" i="1"/>
  <c r="F213" i="1"/>
  <c r="E213" i="1"/>
  <c r="D213" i="1"/>
  <c r="C213" i="1"/>
  <c r="B213" i="1"/>
  <c r="A213" i="1"/>
  <c r="F212" i="1"/>
  <c r="E212" i="1"/>
  <c r="D212" i="1"/>
  <c r="C212" i="1"/>
  <c r="B212" i="1"/>
  <c r="A212" i="1"/>
  <c r="F211" i="1"/>
  <c r="E211" i="1"/>
  <c r="D211" i="1"/>
  <c r="C211" i="1"/>
  <c r="B211" i="1"/>
  <c r="A211" i="1"/>
  <c r="F210" i="1"/>
  <c r="E210" i="1"/>
  <c r="D210" i="1"/>
  <c r="C210" i="1"/>
  <c r="B210" i="1"/>
  <c r="A210" i="1"/>
  <c r="F209" i="1"/>
  <c r="E209" i="1"/>
  <c r="D209" i="1"/>
  <c r="C209" i="1"/>
  <c r="B209" i="1"/>
  <c r="A209" i="1"/>
  <c r="F208" i="1"/>
  <c r="E208" i="1"/>
  <c r="D208" i="1"/>
  <c r="C208" i="1"/>
  <c r="B208" i="1"/>
  <c r="A208" i="1"/>
  <c r="F207" i="1"/>
  <c r="E207" i="1"/>
  <c r="D207" i="1"/>
  <c r="C207" i="1"/>
  <c r="B207" i="1"/>
  <c r="A207" i="1"/>
  <c r="F206" i="1"/>
  <c r="E206" i="1"/>
  <c r="D206" i="1"/>
  <c r="C206" i="1"/>
  <c r="B206" i="1"/>
  <c r="A206" i="1"/>
  <c r="F205" i="1"/>
  <c r="E205" i="1"/>
  <c r="D205" i="1"/>
  <c r="C205" i="1"/>
  <c r="B205" i="1"/>
  <c r="A205" i="1"/>
  <c r="F204" i="1"/>
  <c r="E204" i="1"/>
  <c r="D204" i="1"/>
  <c r="C204" i="1"/>
  <c r="B204" i="1"/>
  <c r="A204" i="1"/>
  <c r="F203" i="1"/>
  <c r="E203" i="1"/>
  <c r="D203" i="1"/>
  <c r="C203" i="1"/>
  <c r="B203" i="1"/>
  <c r="A203" i="1"/>
  <c r="F202" i="1"/>
  <c r="E202" i="1"/>
  <c r="D202" i="1"/>
  <c r="C202" i="1"/>
  <c r="B202" i="1"/>
  <c r="A202" i="1"/>
  <c r="F201" i="1"/>
  <c r="E201" i="1"/>
  <c r="D201" i="1"/>
  <c r="C201" i="1"/>
  <c r="B201" i="1"/>
  <c r="A201" i="1"/>
  <c r="F200" i="1"/>
  <c r="E200" i="1"/>
  <c r="D200" i="1"/>
  <c r="C200" i="1"/>
  <c r="B200" i="1"/>
  <c r="A200" i="1"/>
  <c r="F199" i="1"/>
  <c r="E199" i="1"/>
  <c r="D199" i="1"/>
  <c r="C199" i="1"/>
  <c r="B199" i="1"/>
  <c r="A199" i="1"/>
  <c r="F198" i="1"/>
  <c r="E198" i="1"/>
  <c r="D198" i="1"/>
  <c r="C198" i="1"/>
  <c r="B198" i="1"/>
  <c r="A198" i="1"/>
  <c r="F197" i="1"/>
  <c r="E197" i="1"/>
  <c r="D197" i="1"/>
  <c r="C197" i="1"/>
  <c r="B197" i="1"/>
  <c r="A197" i="1"/>
  <c r="F196" i="1"/>
  <c r="E196" i="1"/>
  <c r="D196" i="1"/>
  <c r="C196" i="1"/>
  <c r="B196" i="1"/>
  <c r="A196" i="1"/>
  <c r="F195" i="1"/>
  <c r="E195" i="1"/>
  <c r="D195" i="1"/>
  <c r="C195" i="1"/>
  <c r="B195" i="1"/>
  <c r="A195" i="1"/>
  <c r="F194" i="1"/>
  <c r="E194" i="1"/>
  <c r="D194" i="1"/>
  <c r="C194" i="1"/>
  <c r="B194" i="1"/>
  <c r="A194" i="1"/>
  <c r="F193" i="1"/>
  <c r="E193" i="1"/>
  <c r="D193" i="1"/>
  <c r="C193" i="1"/>
  <c r="B193" i="1"/>
  <c r="A193" i="1"/>
  <c r="F192" i="1"/>
  <c r="E192" i="1"/>
  <c r="D192" i="1"/>
  <c r="C192" i="1"/>
  <c r="B192" i="1"/>
  <c r="A192" i="1"/>
  <c r="F191" i="1"/>
  <c r="E191" i="1"/>
  <c r="D191" i="1"/>
  <c r="C191" i="1"/>
  <c r="B191" i="1"/>
  <c r="A191" i="1"/>
  <c r="F190" i="1"/>
  <c r="E190" i="1"/>
  <c r="D190" i="1"/>
  <c r="C190" i="1"/>
  <c r="B190" i="1"/>
  <c r="A190" i="1"/>
  <c r="F189" i="1"/>
  <c r="E189" i="1"/>
  <c r="D189" i="1"/>
  <c r="C189" i="1"/>
  <c r="B189" i="1"/>
  <c r="A189" i="1"/>
  <c r="F188" i="1"/>
  <c r="E188" i="1"/>
  <c r="D188" i="1"/>
  <c r="C188" i="1"/>
  <c r="B188" i="1"/>
  <c r="A188" i="1"/>
  <c r="F187" i="1"/>
  <c r="E187" i="1"/>
  <c r="D187" i="1"/>
  <c r="C187" i="1"/>
  <c r="B187" i="1"/>
  <c r="A187" i="1"/>
  <c r="F186" i="1"/>
  <c r="E186" i="1"/>
  <c r="D186" i="1"/>
  <c r="C186" i="1"/>
  <c r="B186" i="1"/>
  <c r="A186" i="1"/>
  <c r="F185" i="1"/>
  <c r="E185" i="1"/>
  <c r="D185" i="1"/>
  <c r="C185" i="1"/>
  <c r="B185" i="1"/>
  <c r="A185" i="1"/>
  <c r="F184" i="1"/>
  <c r="E184" i="1"/>
  <c r="D184" i="1"/>
  <c r="C184" i="1"/>
  <c r="B184" i="1"/>
  <c r="A184" i="1"/>
  <c r="F183" i="1"/>
  <c r="E183" i="1"/>
  <c r="D183" i="1"/>
  <c r="C183" i="1"/>
  <c r="B183" i="1"/>
  <c r="A183" i="1"/>
  <c r="F182" i="1"/>
  <c r="E182" i="1"/>
  <c r="D182" i="1"/>
  <c r="C182" i="1"/>
  <c r="B182" i="1"/>
  <c r="A182" i="1"/>
  <c r="F181" i="1"/>
  <c r="E181" i="1"/>
  <c r="D181" i="1"/>
  <c r="C181" i="1"/>
  <c r="B181" i="1"/>
  <c r="A181" i="1"/>
  <c r="F180" i="1"/>
  <c r="E180" i="1"/>
  <c r="D180" i="1"/>
  <c r="C180" i="1"/>
  <c r="B180" i="1"/>
  <c r="A180" i="1"/>
  <c r="F179" i="1"/>
  <c r="E179" i="1"/>
  <c r="D179" i="1"/>
  <c r="C179" i="1"/>
  <c r="B179" i="1"/>
  <c r="A179" i="1"/>
  <c r="F178" i="1"/>
  <c r="E178" i="1"/>
  <c r="D178" i="1"/>
  <c r="C178" i="1"/>
  <c r="B178" i="1"/>
  <c r="A178" i="1"/>
  <c r="F177" i="1"/>
  <c r="E177" i="1"/>
  <c r="D177" i="1"/>
  <c r="C177" i="1"/>
  <c r="B177" i="1"/>
  <c r="A177" i="1"/>
  <c r="F176" i="1"/>
  <c r="E176" i="1"/>
  <c r="D176" i="1"/>
  <c r="C176" i="1"/>
  <c r="B176" i="1"/>
  <c r="A176" i="1"/>
  <c r="F175" i="1"/>
  <c r="E175" i="1"/>
  <c r="D175" i="1"/>
  <c r="C175" i="1"/>
  <c r="B175" i="1"/>
  <c r="A175" i="1"/>
  <c r="F174" i="1"/>
  <c r="E174" i="1"/>
  <c r="D174" i="1"/>
  <c r="C174" i="1"/>
  <c r="B174" i="1"/>
  <c r="A174" i="1"/>
  <c r="F173" i="1"/>
  <c r="E173" i="1"/>
  <c r="D173" i="1"/>
  <c r="C173" i="1"/>
  <c r="B173" i="1"/>
  <c r="A173" i="1"/>
  <c r="F172" i="1"/>
  <c r="E172" i="1"/>
  <c r="D172" i="1"/>
  <c r="C172" i="1"/>
  <c r="B172" i="1"/>
  <c r="A172" i="1"/>
  <c r="F171" i="1"/>
  <c r="E171" i="1"/>
  <c r="D171" i="1"/>
  <c r="C171" i="1"/>
  <c r="B171" i="1"/>
  <c r="A171" i="1"/>
  <c r="F170" i="1"/>
  <c r="E170" i="1"/>
  <c r="D170" i="1"/>
  <c r="C170" i="1"/>
  <c r="B170" i="1"/>
  <c r="A170" i="1"/>
  <c r="F169" i="1"/>
  <c r="E169" i="1"/>
  <c r="D169" i="1"/>
  <c r="C169" i="1"/>
  <c r="B169" i="1"/>
  <c r="A169" i="1"/>
  <c r="F168" i="1"/>
  <c r="E168" i="1"/>
  <c r="D168" i="1"/>
  <c r="C168" i="1"/>
  <c r="B168" i="1"/>
  <c r="A168" i="1"/>
  <c r="F167" i="1"/>
  <c r="E167" i="1"/>
  <c r="D167" i="1"/>
  <c r="C167" i="1"/>
  <c r="B167" i="1"/>
  <c r="A167" i="1"/>
  <c r="F166" i="1"/>
  <c r="E166" i="1"/>
  <c r="D166" i="1"/>
  <c r="C166" i="1"/>
  <c r="B166" i="1"/>
  <c r="A166" i="1"/>
  <c r="F165" i="1"/>
  <c r="E165" i="1"/>
  <c r="D165" i="1"/>
  <c r="C165" i="1"/>
  <c r="B165" i="1"/>
  <c r="A165" i="1"/>
  <c r="F164" i="1"/>
  <c r="E164" i="1"/>
  <c r="D164" i="1"/>
  <c r="C164" i="1"/>
  <c r="B164" i="1"/>
  <c r="A164" i="1"/>
  <c r="F163" i="1"/>
  <c r="E163" i="1"/>
  <c r="D163" i="1"/>
  <c r="C163" i="1"/>
  <c r="B163" i="1"/>
  <c r="A163" i="1"/>
  <c r="F162" i="1"/>
  <c r="E162" i="1"/>
  <c r="D162" i="1"/>
  <c r="C162" i="1"/>
  <c r="B162" i="1"/>
  <c r="A162" i="1"/>
  <c r="F161" i="1"/>
  <c r="E161" i="1"/>
  <c r="D161" i="1"/>
  <c r="C161" i="1"/>
  <c r="B161" i="1"/>
  <c r="A161" i="1"/>
  <c r="F160" i="1"/>
  <c r="E160" i="1"/>
  <c r="D160" i="1"/>
  <c r="C160" i="1"/>
  <c r="B160" i="1"/>
  <c r="A160" i="1"/>
  <c r="F159" i="1"/>
  <c r="E159" i="1"/>
  <c r="D159" i="1"/>
  <c r="C159" i="1"/>
  <c r="B159" i="1"/>
  <c r="A159" i="1"/>
  <c r="F158" i="1"/>
  <c r="E158" i="1"/>
  <c r="D158" i="1"/>
  <c r="C158" i="1"/>
  <c r="B158" i="1"/>
  <c r="A158" i="1"/>
  <c r="F157" i="1"/>
  <c r="E157" i="1"/>
  <c r="D157" i="1"/>
  <c r="C157" i="1"/>
  <c r="B157" i="1"/>
  <c r="A157" i="1"/>
  <c r="F156" i="1"/>
  <c r="E156" i="1"/>
  <c r="D156" i="1"/>
  <c r="C156" i="1"/>
  <c r="B156" i="1"/>
  <c r="A156" i="1"/>
  <c r="F155" i="1"/>
  <c r="E155" i="1"/>
  <c r="D155" i="1"/>
  <c r="C155" i="1"/>
  <c r="B155" i="1"/>
  <c r="A155" i="1"/>
  <c r="F154" i="1"/>
  <c r="E154" i="1"/>
  <c r="D154" i="1"/>
  <c r="C154" i="1"/>
  <c r="B154" i="1"/>
  <c r="A154" i="1"/>
  <c r="F153" i="1"/>
  <c r="E153" i="1"/>
  <c r="D153" i="1"/>
  <c r="C153" i="1"/>
  <c r="B153" i="1"/>
  <c r="A153" i="1"/>
  <c r="F152" i="1"/>
  <c r="E152" i="1"/>
  <c r="D152" i="1"/>
  <c r="C152" i="1"/>
  <c r="B152" i="1"/>
  <c r="A152" i="1"/>
  <c r="F151" i="1"/>
  <c r="E151" i="1"/>
  <c r="D151" i="1"/>
  <c r="C151" i="1"/>
  <c r="B151" i="1"/>
  <c r="A151" i="1"/>
  <c r="F150" i="1"/>
  <c r="E150" i="1"/>
  <c r="D150" i="1"/>
  <c r="C150" i="1"/>
  <c r="B150" i="1"/>
  <c r="A150" i="1"/>
  <c r="F149" i="1"/>
  <c r="E149" i="1"/>
  <c r="D149" i="1"/>
  <c r="C149" i="1"/>
  <c r="B149" i="1"/>
  <c r="A149" i="1"/>
  <c r="F148" i="1"/>
  <c r="E148" i="1"/>
  <c r="D148" i="1"/>
  <c r="C148" i="1"/>
  <c r="B148" i="1"/>
  <c r="A148" i="1"/>
  <c r="F147" i="1"/>
  <c r="E147" i="1"/>
  <c r="D147" i="1"/>
  <c r="C147" i="1"/>
  <c r="B147" i="1"/>
  <c r="A147" i="1"/>
  <c r="F146" i="1"/>
  <c r="E146" i="1"/>
  <c r="D146" i="1"/>
  <c r="C146" i="1"/>
  <c r="B146" i="1"/>
  <c r="A146" i="1"/>
  <c r="F145" i="1"/>
  <c r="E145" i="1"/>
  <c r="D145" i="1"/>
  <c r="C145" i="1"/>
  <c r="B145" i="1"/>
  <c r="A145" i="1"/>
  <c r="F144" i="1"/>
  <c r="E144" i="1"/>
  <c r="D144" i="1"/>
  <c r="C144" i="1"/>
  <c r="B144" i="1"/>
  <c r="A144" i="1"/>
  <c r="F143" i="1"/>
  <c r="E143" i="1"/>
  <c r="D143" i="1"/>
  <c r="C143" i="1"/>
  <c r="B143" i="1"/>
  <c r="A143" i="1"/>
  <c r="F142" i="1"/>
  <c r="E142" i="1"/>
  <c r="D142" i="1"/>
  <c r="C142" i="1"/>
  <c r="B142" i="1"/>
  <c r="A142" i="1"/>
  <c r="F141" i="1"/>
  <c r="E141" i="1"/>
  <c r="D141" i="1"/>
  <c r="C141" i="1"/>
  <c r="B141" i="1"/>
  <c r="A141" i="1"/>
  <c r="F140" i="1"/>
  <c r="E140" i="1"/>
  <c r="D140" i="1"/>
  <c r="C140" i="1"/>
  <c r="B140" i="1"/>
  <c r="A140" i="1"/>
  <c r="F139" i="1"/>
  <c r="E139" i="1"/>
  <c r="D139" i="1"/>
  <c r="C139" i="1"/>
  <c r="B139" i="1"/>
  <c r="A139" i="1"/>
  <c r="F138" i="1"/>
  <c r="E138" i="1"/>
  <c r="D138" i="1"/>
  <c r="C138" i="1"/>
  <c r="B138" i="1"/>
  <c r="A138" i="1"/>
  <c r="F137" i="1"/>
  <c r="E137" i="1"/>
  <c r="D137" i="1"/>
  <c r="C137" i="1"/>
  <c r="B137" i="1"/>
  <c r="A137" i="1"/>
  <c r="F136" i="1"/>
  <c r="E136" i="1"/>
  <c r="D136" i="1"/>
  <c r="C136" i="1"/>
  <c r="B136" i="1"/>
  <c r="A136" i="1"/>
  <c r="F135" i="1"/>
  <c r="E135" i="1"/>
  <c r="D135" i="1"/>
  <c r="C135" i="1"/>
  <c r="B135" i="1"/>
  <c r="A135" i="1"/>
  <c r="F134" i="1"/>
  <c r="E134" i="1"/>
  <c r="D134" i="1"/>
  <c r="C134" i="1"/>
  <c r="B134" i="1"/>
  <c r="A134" i="1"/>
  <c r="F133" i="1"/>
  <c r="E133" i="1"/>
  <c r="D133" i="1"/>
  <c r="C133" i="1"/>
  <c r="B133" i="1"/>
  <c r="A133" i="1"/>
  <c r="F132" i="1"/>
  <c r="E132" i="1"/>
  <c r="D132" i="1"/>
  <c r="C132" i="1"/>
  <c r="B132" i="1"/>
  <c r="A132" i="1"/>
  <c r="F131" i="1"/>
  <c r="E131" i="1"/>
  <c r="D131" i="1"/>
  <c r="C131" i="1"/>
  <c r="B131" i="1"/>
  <c r="A131" i="1"/>
  <c r="F130" i="1"/>
  <c r="E130" i="1"/>
  <c r="D130" i="1"/>
  <c r="C130" i="1"/>
  <c r="B130" i="1"/>
  <c r="A130" i="1"/>
  <c r="F129" i="1"/>
  <c r="E129" i="1"/>
  <c r="D129" i="1"/>
  <c r="C129" i="1"/>
  <c r="B129" i="1"/>
  <c r="A129" i="1"/>
  <c r="F128" i="1"/>
  <c r="E128" i="1"/>
  <c r="D128" i="1"/>
  <c r="C128" i="1"/>
  <c r="B128" i="1"/>
  <c r="A128" i="1"/>
  <c r="F127" i="1"/>
  <c r="E127" i="1"/>
  <c r="D127" i="1"/>
  <c r="C127" i="1"/>
  <c r="B127" i="1"/>
  <c r="A127" i="1"/>
  <c r="F126" i="1"/>
  <c r="E126" i="1"/>
  <c r="D126" i="1"/>
  <c r="C126" i="1"/>
  <c r="B126" i="1"/>
  <c r="A126" i="1"/>
  <c r="F125" i="1"/>
  <c r="E125" i="1"/>
  <c r="D125" i="1"/>
  <c r="C125" i="1"/>
  <c r="B125" i="1"/>
  <c r="A125" i="1"/>
  <c r="F124" i="1"/>
  <c r="E124" i="1"/>
  <c r="D124" i="1"/>
  <c r="C124" i="1"/>
  <c r="B124" i="1"/>
  <c r="A124" i="1"/>
  <c r="F123" i="1"/>
  <c r="E123" i="1"/>
  <c r="D123" i="1"/>
  <c r="C123" i="1"/>
  <c r="B123" i="1"/>
  <c r="A123" i="1"/>
  <c r="F122" i="1"/>
  <c r="E122" i="1"/>
  <c r="D122" i="1"/>
  <c r="C122" i="1"/>
  <c r="B122" i="1"/>
  <c r="A122" i="1"/>
  <c r="F121" i="1"/>
  <c r="E121" i="1"/>
  <c r="D121" i="1"/>
  <c r="C121" i="1"/>
  <c r="B121" i="1"/>
  <c r="A121" i="1"/>
  <c r="F120" i="1"/>
  <c r="E120" i="1"/>
  <c r="D120" i="1"/>
  <c r="C120" i="1"/>
  <c r="B120" i="1"/>
  <c r="A120" i="1"/>
  <c r="F119" i="1"/>
  <c r="E119" i="1"/>
  <c r="D119" i="1"/>
  <c r="C119" i="1"/>
  <c r="B119" i="1"/>
  <c r="A119" i="1"/>
  <c r="F118" i="1"/>
  <c r="E118" i="1"/>
  <c r="D118" i="1"/>
  <c r="C118" i="1"/>
  <c r="B118" i="1"/>
  <c r="A118" i="1"/>
  <c r="F117" i="1"/>
  <c r="E117" i="1"/>
  <c r="D117" i="1"/>
  <c r="C117" i="1"/>
  <c r="B117" i="1"/>
  <c r="A117" i="1"/>
  <c r="F116" i="1"/>
  <c r="E116" i="1"/>
  <c r="D116" i="1"/>
  <c r="C116" i="1"/>
  <c r="B116" i="1"/>
  <c r="A116" i="1"/>
  <c r="F115" i="1"/>
  <c r="E115" i="1"/>
  <c r="D115" i="1"/>
  <c r="C115" i="1"/>
  <c r="B115" i="1"/>
  <c r="A115" i="1"/>
  <c r="F114" i="1"/>
  <c r="E114" i="1"/>
  <c r="D114" i="1"/>
  <c r="C114" i="1"/>
  <c r="B114" i="1"/>
  <c r="A114" i="1"/>
  <c r="F113" i="1"/>
  <c r="E113" i="1"/>
  <c r="D113" i="1"/>
  <c r="C113" i="1"/>
  <c r="B113" i="1"/>
  <c r="A113" i="1"/>
  <c r="F112" i="1"/>
  <c r="E112" i="1"/>
  <c r="D112" i="1"/>
  <c r="C112" i="1"/>
  <c r="B112" i="1"/>
  <c r="A112" i="1"/>
  <c r="F111" i="1"/>
  <c r="E111" i="1"/>
  <c r="D111" i="1"/>
  <c r="C111" i="1"/>
  <c r="B111" i="1"/>
  <c r="A111" i="1"/>
  <c r="F110" i="1"/>
  <c r="E110" i="1"/>
  <c r="D110" i="1"/>
  <c r="C110" i="1"/>
  <c r="B110" i="1"/>
  <c r="A110" i="1"/>
  <c r="F109" i="1"/>
  <c r="E109" i="1"/>
  <c r="D109" i="1"/>
  <c r="C109" i="1"/>
  <c r="B109" i="1"/>
  <c r="A109" i="1"/>
  <c r="F108" i="1"/>
  <c r="E108" i="1"/>
  <c r="D108" i="1"/>
  <c r="C108" i="1"/>
  <c r="B108" i="1"/>
  <c r="A108" i="1"/>
  <c r="F107" i="1"/>
  <c r="E107" i="1"/>
  <c r="D107" i="1"/>
  <c r="C107" i="1"/>
  <c r="B107" i="1"/>
  <c r="A107" i="1"/>
  <c r="F106" i="1"/>
  <c r="E106" i="1"/>
  <c r="D106" i="1"/>
  <c r="C106" i="1"/>
  <c r="B106" i="1"/>
  <c r="A106" i="1"/>
  <c r="F105" i="1"/>
  <c r="E105" i="1"/>
  <c r="D105" i="1"/>
  <c r="C105" i="1"/>
  <c r="B105" i="1"/>
  <c r="A105" i="1"/>
  <c r="F104" i="1"/>
  <c r="E104" i="1"/>
  <c r="D104" i="1"/>
  <c r="C104" i="1"/>
  <c r="B104" i="1"/>
  <c r="A104" i="1"/>
  <c r="F103" i="1"/>
  <c r="E103" i="1"/>
  <c r="D103" i="1"/>
  <c r="C103" i="1"/>
  <c r="B103" i="1"/>
  <c r="A103" i="1"/>
  <c r="F102" i="1"/>
  <c r="E102" i="1"/>
  <c r="D102" i="1"/>
  <c r="C102" i="1"/>
  <c r="B102" i="1"/>
  <c r="A102" i="1"/>
  <c r="F101" i="1"/>
  <c r="E101" i="1"/>
  <c r="D101" i="1"/>
  <c r="C101" i="1"/>
  <c r="B101" i="1"/>
  <c r="A101" i="1"/>
  <c r="F100" i="1"/>
  <c r="E100" i="1"/>
  <c r="D100" i="1"/>
  <c r="C100" i="1"/>
  <c r="B100" i="1"/>
  <c r="A100" i="1"/>
  <c r="F99" i="1"/>
  <c r="E99" i="1"/>
  <c r="D99" i="1"/>
  <c r="C99" i="1"/>
  <c r="B99" i="1"/>
  <c r="A99" i="1"/>
  <c r="F98" i="1"/>
  <c r="E98" i="1"/>
  <c r="D98" i="1"/>
  <c r="C98" i="1"/>
  <c r="B98" i="1"/>
  <c r="A98" i="1"/>
  <c r="F97" i="1"/>
  <c r="E97" i="1"/>
  <c r="D97" i="1"/>
  <c r="C97" i="1"/>
  <c r="B97" i="1"/>
  <c r="A97" i="1"/>
  <c r="F96" i="1"/>
  <c r="E96" i="1"/>
  <c r="D96" i="1"/>
  <c r="C96" i="1"/>
  <c r="B96" i="1"/>
  <c r="A96" i="1"/>
  <c r="F95" i="1"/>
  <c r="E95" i="1"/>
  <c r="D95" i="1"/>
  <c r="C95" i="1"/>
  <c r="B95" i="1"/>
  <c r="A95" i="1"/>
  <c r="F94" i="1"/>
  <c r="E94" i="1"/>
  <c r="D94" i="1"/>
  <c r="C94" i="1"/>
  <c r="B94" i="1"/>
  <c r="A94" i="1"/>
  <c r="F93" i="1"/>
  <c r="E93" i="1"/>
  <c r="D93" i="1"/>
  <c r="C93" i="1"/>
  <c r="B93" i="1"/>
  <c r="A93" i="1"/>
  <c r="F92" i="1"/>
  <c r="E92" i="1"/>
  <c r="D92" i="1"/>
  <c r="C92" i="1"/>
  <c r="B92" i="1"/>
  <c r="A92" i="1"/>
  <c r="F91" i="1"/>
  <c r="E91" i="1"/>
  <c r="D91" i="1"/>
  <c r="C91" i="1"/>
  <c r="B91" i="1"/>
  <c r="A91" i="1"/>
  <c r="F90" i="1"/>
  <c r="E90" i="1"/>
  <c r="D90" i="1"/>
  <c r="C90" i="1"/>
  <c r="B90" i="1"/>
  <c r="A90" i="1"/>
  <c r="F89" i="1"/>
  <c r="E89" i="1"/>
  <c r="D89" i="1"/>
  <c r="C89" i="1"/>
  <c r="B89" i="1"/>
  <c r="A89" i="1"/>
  <c r="F88" i="1"/>
  <c r="E88" i="1"/>
  <c r="D88" i="1"/>
  <c r="C88" i="1"/>
  <c r="B88" i="1"/>
  <c r="A88" i="1"/>
  <c r="F87" i="1"/>
  <c r="E87" i="1"/>
  <c r="D87" i="1"/>
  <c r="C87" i="1"/>
  <c r="B87" i="1"/>
  <c r="A87" i="1"/>
  <c r="F86" i="1"/>
  <c r="E86" i="1"/>
  <c r="D86" i="1"/>
  <c r="C86" i="1"/>
  <c r="B86" i="1"/>
  <c r="A86" i="1"/>
  <c r="F85" i="1"/>
  <c r="E85" i="1"/>
  <c r="D85" i="1"/>
  <c r="C85" i="1"/>
  <c r="B85" i="1"/>
  <c r="A85" i="1"/>
  <c r="F84" i="1"/>
  <c r="E84" i="1"/>
  <c r="D84" i="1"/>
  <c r="C84" i="1"/>
  <c r="B84" i="1"/>
  <c r="A84" i="1"/>
  <c r="F83" i="1"/>
  <c r="E83" i="1"/>
  <c r="D83" i="1"/>
  <c r="C83" i="1"/>
  <c r="B83" i="1"/>
  <c r="A83" i="1"/>
  <c r="F82" i="1"/>
  <c r="E82" i="1"/>
  <c r="D82" i="1"/>
  <c r="C82" i="1"/>
  <c r="B82" i="1"/>
  <c r="A82" i="1"/>
  <c r="F81" i="1"/>
  <c r="E81" i="1"/>
  <c r="D81" i="1"/>
  <c r="C81" i="1"/>
  <c r="B81" i="1"/>
  <c r="A81" i="1"/>
  <c r="F80" i="1"/>
  <c r="E80" i="1"/>
  <c r="D80" i="1"/>
  <c r="C80" i="1"/>
  <c r="B80" i="1"/>
  <c r="A80" i="1"/>
  <c r="F79" i="1"/>
  <c r="E79" i="1"/>
  <c r="D79" i="1"/>
  <c r="C79" i="1"/>
  <c r="B79" i="1"/>
  <c r="A79" i="1"/>
  <c r="F78" i="1"/>
  <c r="E78" i="1"/>
  <c r="D78" i="1"/>
  <c r="C78" i="1"/>
  <c r="B78" i="1"/>
  <c r="A78" i="1"/>
  <c r="F77" i="1"/>
  <c r="E77" i="1"/>
  <c r="D77" i="1"/>
  <c r="C77" i="1"/>
  <c r="B77" i="1"/>
  <c r="A77" i="1"/>
  <c r="F76" i="1"/>
  <c r="E76" i="1"/>
  <c r="D76" i="1"/>
  <c r="C76" i="1"/>
  <c r="B76" i="1"/>
  <c r="A76" i="1"/>
  <c r="F75" i="1"/>
  <c r="E75" i="1"/>
  <c r="D75" i="1"/>
  <c r="C75" i="1"/>
  <c r="B75" i="1"/>
  <c r="A75" i="1"/>
  <c r="F74" i="1"/>
  <c r="E74" i="1"/>
  <c r="D74" i="1"/>
  <c r="C74" i="1"/>
  <c r="B74" i="1"/>
  <c r="A74" i="1"/>
  <c r="F73" i="1"/>
  <c r="E73" i="1"/>
  <c r="D73" i="1"/>
  <c r="C73" i="1"/>
  <c r="B73" i="1"/>
  <c r="A73" i="1"/>
  <c r="F72" i="1"/>
  <c r="E72" i="1"/>
  <c r="D72" i="1"/>
  <c r="C72" i="1"/>
  <c r="B72" i="1"/>
  <c r="A72" i="1"/>
  <c r="F71" i="1"/>
  <c r="E71" i="1"/>
  <c r="D71" i="1"/>
  <c r="C71" i="1"/>
  <c r="B71" i="1"/>
  <c r="A71" i="1"/>
  <c r="F70" i="1"/>
  <c r="E70" i="1"/>
  <c r="D70" i="1"/>
  <c r="C70" i="1"/>
  <c r="B70" i="1"/>
  <c r="A70" i="1"/>
  <c r="F69" i="1"/>
  <c r="E69" i="1"/>
  <c r="D69" i="1"/>
  <c r="C69" i="1"/>
  <c r="B69" i="1"/>
  <c r="A69" i="1"/>
  <c r="F68" i="1"/>
  <c r="E68" i="1"/>
  <c r="D68" i="1"/>
  <c r="C68" i="1"/>
  <c r="B68" i="1"/>
  <c r="A68" i="1"/>
  <c r="F67" i="1"/>
  <c r="E67" i="1"/>
  <c r="D67" i="1"/>
  <c r="C67" i="1"/>
  <c r="B67" i="1"/>
  <c r="A67" i="1"/>
  <c r="F66" i="1"/>
  <c r="E66" i="1"/>
  <c r="D66" i="1"/>
  <c r="C66" i="1"/>
  <c r="B66" i="1"/>
  <c r="A66" i="1"/>
  <c r="F65" i="1"/>
  <c r="E65" i="1"/>
  <c r="D65" i="1"/>
  <c r="C65" i="1"/>
  <c r="B65" i="1"/>
  <c r="A65" i="1"/>
  <c r="F64" i="1"/>
  <c r="E64" i="1"/>
  <c r="D64" i="1"/>
  <c r="C64" i="1"/>
  <c r="B64" i="1"/>
  <c r="A64" i="1"/>
  <c r="F63" i="1"/>
  <c r="E63" i="1"/>
  <c r="D63" i="1"/>
  <c r="C63" i="1"/>
  <c r="B63" i="1"/>
  <c r="A63" i="1"/>
  <c r="F62" i="1"/>
  <c r="E62" i="1"/>
  <c r="D62" i="1"/>
  <c r="C62" i="1"/>
  <c r="B62" i="1"/>
  <c r="A62" i="1"/>
  <c r="F61" i="1"/>
  <c r="E61" i="1"/>
  <c r="D61" i="1"/>
  <c r="C61" i="1"/>
  <c r="B61" i="1"/>
  <c r="A61" i="1"/>
  <c r="F60" i="1"/>
  <c r="E60" i="1"/>
  <c r="D60" i="1"/>
  <c r="C60" i="1"/>
  <c r="B60" i="1"/>
  <c r="A60" i="1"/>
  <c r="F59" i="1"/>
  <c r="E59" i="1"/>
  <c r="D59" i="1"/>
  <c r="C59" i="1"/>
  <c r="B59" i="1"/>
  <c r="A59" i="1"/>
  <c r="F58" i="1"/>
  <c r="E58" i="1"/>
  <c r="D58" i="1"/>
  <c r="C58" i="1"/>
  <c r="B58" i="1"/>
  <c r="A58" i="1"/>
  <c r="F57" i="1"/>
  <c r="E57" i="1"/>
  <c r="D57" i="1"/>
  <c r="C57" i="1"/>
  <c r="B57" i="1"/>
  <c r="A57" i="1"/>
  <c r="F56" i="1"/>
  <c r="E56" i="1"/>
  <c r="D56" i="1"/>
  <c r="C56" i="1"/>
  <c r="B56" i="1"/>
  <c r="A56" i="1"/>
  <c r="F55" i="1"/>
  <c r="E55" i="1"/>
  <c r="D55" i="1"/>
  <c r="C55" i="1"/>
  <c r="B55" i="1"/>
  <c r="A55" i="1"/>
  <c r="F54" i="1"/>
  <c r="E54" i="1"/>
  <c r="D54" i="1"/>
  <c r="C54" i="1"/>
  <c r="B54" i="1"/>
  <c r="A54" i="1"/>
  <c r="F53" i="1"/>
  <c r="E53" i="1"/>
  <c r="D53" i="1"/>
  <c r="C53" i="1"/>
  <c r="B53" i="1"/>
  <c r="A53" i="1"/>
  <c r="F52" i="1"/>
  <c r="E52" i="1"/>
  <c r="D52" i="1"/>
  <c r="C52" i="1"/>
  <c r="B52" i="1"/>
  <c r="A52" i="1"/>
  <c r="F51" i="1"/>
  <c r="E51" i="1"/>
  <c r="D51" i="1"/>
  <c r="C51" i="1"/>
  <c r="B51" i="1"/>
  <c r="A51" i="1"/>
  <c r="F50" i="1"/>
  <c r="E50" i="1"/>
  <c r="D50" i="1"/>
  <c r="C50" i="1"/>
  <c r="B50" i="1"/>
  <c r="A50" i="1"/>
  <c r="F49" i="1"/>
  <c r="E49" i="1"/>
  <c r="D49" i="1"/>
  <c r="C49" i="1"/>
  <c r="B49" i="1"/>
  <c r="A49" i="1"/>
  <c r="F48" i="1"/>
  <c r="E48" i="1"/>
  <c r="D48" i="1"/>
  <c r="C48" i="1"/>
  <c r="B48" i="1"/>
  <c r="A48" i="1"/>
  <c r="F47" i="1"/>
  <c r="E47" i="1"/>
  <c r="D47" i="1"/>
  <c r="C47" i="1"/>
  <c r="B47" i="1"/>
  <c r="A47" i="1"/>
  <c r="F46" i="1"/>
  <c r="E46" i="1"/>
  <c r="D46" i="1"/>
  <c r="C46" i="1"/>
  <c r="B46" i="1"/>
  <c r="A46" i="1"/>
  <c r="F45" i="1"/>
  <c r="E45" i="1"/>
  <c r="D45" i="1"/>
  <c r="C45" i="1"/>
  <c r="B45" i="1"/>
  <c r="A45" i="1"/>
  <c r="F44" i="1"/>
  <c r="E44" i="1"/>
  <c r="D44" i="1"/>
  <c r="C44" i="1"/>
  <c r="B44" i="1"/>
  <c r="A44" i="1"/>
  <c r="F43" i="1"/>
  <c r="E43" i="1"/>
  <c r="D43" i="1"/>
  <c r="C43" i="1"/>
  <c r="B43" i="1"/>
  <c r="A43" i="1"/>
  <c r="F42" i="1"/>
  <c r="E42" i="1"/>
  <c r="D42" i="1"/>
  <c r="C42" i="1"/>
  <c r="B42" i="1"/>
  <c r="A42" i="1"/>
  <c r="F41" i="1"/>
  <c r="E41" i="1"/>
  <c r="D41" i="1"/>
  <c r="C41" i="1"/>
  <c r="B41" i="1"/>
  <c r="A41" i="1"/>
  <c r="F40" i="1"/>
  <c r="E40" i="1"/>
  <c r="D40" i="1"/>
  <c r="C40" i="1"/>
  <c r="B40" i="1"/>
  <c r="A40" i="1"/>
  <c r="F39" i="1"/>
  <c r="E39" i="1"/>
  <c r="D39" i="1"/>
  <c r="C39" i="1"/>
  <c r="B39" i="1"/>
  <c r="A39" i="1"/>
  <c r="F38" i="1"/>
  <c r="E38" i="1"/>
  <c r="D38" i="1"/>
  <c r="C38" i="1"/>
  <c r="B38" i="1"/>
  <c r="A38" i="1"/>
  <c r="F37" i="1"/>
  <c r="E37" i="1"/>
  <c r="D37" i="1"/>
  <c r="C37" i="1"/>
  <c r="B37" i="1"/>
  <c r="A37" i="1"/>
  <c r="F36" i="1"/>
  <c r="E36" i="1"/>
  <c r="D36" i="1"/>
  <c r="C36" i="1"/>
  <c r="B36" i="1"/>
  <c r="A36" i="1"/>
  <c r="F35" i="1"/>
  <c r="E35" i="1"/>
  <c r="D35" i="1"/>
  <c r="C35" i="1"/>
  <c r="B35" i="1"/>
  <c r="A35" i="1"/>
  <c r="F34" i="1"/>
  <c r="E34" i="1"/>
  <c r="D34" i="1"/>
  <c r="C34" i="1"/>
  <c r="B34" i="1"/>
  <c r="A34" i="1"/>
  <c r="F33" i="1"/>
  <c r="E33" i="1"/>
  <c r="D33" i="1"/>
  <c r="C33" i="1"/>
  <c r="B33" i="1"/>
  <c r="A33" i="1"/>
  <c r="F32" i="1"/>
  <c r="E32" i="1"/>
  <c r="D32" i="1"/>
  <c r="C32" i="1"/>
  <c r="B32" i="1"/>
  <c r="A32" i="1"/>
  <c r="F31" i="1"/>
  <c r="E31" i="1"/>
  <c r="D31" i="1"/>
  <c r="C31" i="1"/>
  <c r="B31" i="1"/>
  <c r="A31" i="1"/>
  <c r="F30" i="1"/>
  <c r="E30" i="1"/>
  <c r="D30" i="1"/>
  <c r="C30" i="1"/>
  <c r="B30" i="1"/>
  <c r="A30" i="1"/>
  <c r="F29" i="1"/>
  <c r="E29" i="1"/>
  <c r="D29" i="1"/>
  <c r="C29" i="1"/>
  <c r="B29" i="1"/>
  <c r="A29" i="1"/>
  <c r="F28" i="1"/>
  <c r="E28" i="1"/>
  <c r="D28" i="1"/>
  <c r="C28" i="1"/>
  <c r="B28" i="1"/>
  <c r="A28" i="1"/>
  <c r="F27" i="1"/>
  <c r="E27" i="1"/>
  <c r="D27" i="1"/>
  <c r="C27" i="1"/>
  <c r="B27" i="1"/>
  <c r="A27" i="1"/>
  <c r="F26" i="1"/>
  <c r="E26" i="1"/>
  <c r="D26" i="1"/>
  <c r="C26" i="1"/>
  <c r="B26" i="1"/>
  <c r="A26" i="1"/>
  <c r="F25" i="1"/>
  <c r="E25" i="1"/>
  <c r="D25" i="1"/>
  <c r="C25" i="1"/>
  <c r="B25" i="1"/>
  <c r="A25" i="1"/>
  <c r="F24" i="1"/>
  <c r="E24" i="1"/>
  <c r="D24" i="1"/>
  <c r="C24" i="1"/>
  <c r="B24" i="1"/>
  <c r="A24" i="1"/>
  <c r="F23" i="1"/>
  <c r="E23" i="1"/>
  <c r="D23" i="1"/>
  <c r="C23" i="1"/>
  <c r="B23" i="1"/>
  <c r="A23" i="1"/>
  <c r="F22" i="1"/>
  <c r="E22" i="1"/>
  <c r="D22" i="1"/>
  <c r="C22" i="1"/>
  <c r="B22" i="1"/>
  <c r="A22" i="1"/>
  <c r="F21" i="1"/>
  <c r="E21" i="1"/>
  <c r="D21" i="1"/>
  <c r="C21" i="1"/>
  <c r="B21" i="1"/>
  <c r="A21" i="1"/>
  <c r="F20" i="1"/>
  <c r="E20" i="1"/>
  <c r="D20" i="1"/>
  <c r="C20" i="1"/>
  <c r="B20" i="1"/>
  <c r="A20" i="1"/>
  <c r="F19" i="1"/>
  <c r="E19" i="1"/>
  <c r="D19" i="1"/>
  <c r="C19" i="1"/>
  <c r="B19" i="1"/>
  <c r="A19" i="1"/>
  <c r="F18" i="1"/>
  <c r="E18" i="1"/>
  <c r="D18" i="1"/>
  <c r="C18" i="1"/>
  <c r="B18" i="1"/>
  <c r="A18" i="1"/>
  <c r="F17" i="1"/>
  <c r="E17" i="1"/>
  <c r="D17" i="1"/>
  <c r="C17" i="1"/>
  <c r="B17" i="1"/>
  <c r="A17" i="1"/>
  <c r="F16" i="1"/>
  <c r="E16" i="1"/>
  <c r="D16" i="1"/>
  <c r="C16" i="1"/>
  <c r="B16" i="1"/>
  <c r="A16" i="1"/>
  <c r="F15" i="1"/>
  <c r="E15" i="1"/>
  <c r="D15" i="1"/>
  <c r="C15" i="1"/>
  <c r="B15" i="1"/>
  <c r="A15" i="1"/>
  <c r="F14" i="1"/>
  <c r="E14" i="1"/>
  <c r="D14" i="1"/>
  <c r="C14" i="1"/>
  <c r="B14" i="1"/>
  <c r="A14" i="1"/>
  <c r="F13" i="1"/>
  <c r="E13" i="1"/>
  <c r="D13" i="1"/>
  <c r="C13" i="1"/>
  <c r="B13" i="1"/>
  <c r="A13" i="1"/>
  <c r="F12" i="1"/>
  <c r="E12" i="1"/>
  <c r="D12" i="1"/>
  <c r="C12" i="1"/>
  <c r="B12" i="1"/>
  <c r="A12" i="1"/>
  <c r="F11" i="1"/>
  <c r="E11" i="1"/>
  <c r="D11" i="1"/>
  <c r="C11" i="1"/>
  <c r="B11" i="1"/>
  <c r="A11" i="1"/>
  <c r="F10" i="1"/>
  <c r="E10" i="1"/>
  <c r="D10" i="1"/>
  <c r="C10" i="1"/>
  <c r="B10" i="1"/>
  <c r="A10" i="1"/>
  <c r="F9" i="1"/>
  <c r="E9" i="1"/>
  <c r="D9" i="1"/>
  <c r="C9" i="1"/>
  <c r="B9" i="1"/>
  <c r="A9" i="1"/>
  <c r="F8" i="1"/>
  <c r="E8" i="1"/>
  <c r="D8" i="1"/>
  <c r="C8" i="1"/>
  <c r="B8" i="1"/>
  <c r="A8" i="1"/>
  <c r="F7" i="1"/>
  <c r="E7" i="1"/>
  <c r="D7" i="1"/>
  <c r="C7" i="1"/>
  <c r="B7" i="1"/>
  <c r="A7" i="1"/>
  <c r="F6" i="1"/>
  <c r="E6" i="1"/>
  <c r="D6" i="1"/>
  <c r="C6" i="1"/>
  <c r="B6" i="1"/>
  <c r="A6" i="1"/>
  <c r="F5" i="1"/>
  <c r="E5" i="1"/>
  <c r="D5" i="1"/>
  <c r="C5" i="1"/>
  <c r="B5" i="1"/>
  <c r="A5" i="1"/>
  <c r="F4" i="1"/>
  <c r="E4" i="1"/>
  <c r="D4" i="1"/>
  <c r="C4" i="1"/>
  <c r="B4" i="1"/>
  <c r="A4" i="1"/>
  <c r="F3" i="1"/>
  <c r="E3" i="1"/>
  <c r="D3" i="1"/>
  <c r="C3" i="1"/>
  <c r="B3" i="1"/>
  <c r="A3" i="1"/>
  <c r="F2" i="1"/>
  <c r="E2" i="1"/>
  <c r="D2" i="1"/>
  <c r="C2" i="1"/>
  <c r="B2" i="1"/>
  <c r="A2" i="1"/>
  <c r="G4" i="1" l="1"/>
  <c r="G8" i="1"/>
  <c r="G16" i="1"/>
  <c r="G20" i="1"/>
  <c r="G24" i="1"/>
  <c r="G28" i="1"/>
  <c r="G36" i="1"/>
  <c r="G40" i="1"/>
  <c r="G44" i="1"/>
  <c r="G60" i="1"/>
  <c r="G68" i="1"/>
  <c r="G72" i="1"/>
  <c r="G84" i="1"/>
  <c r="G88" i="1"/>
  <c r="G92" i="1"/>
  <c r="G100" i="1"/>
  <c r="G104" i="1"/>
  <c r="G108" i="1"/>
  <c r="G120" i="1"/>
  <c r="G172" i="1"/>
  <c r="G180" i="1"/>
  <c r="G188" i="1"/>
  <c r="G284" i="1"/>
  <c r="G332" i="1"/>
  <c r="G348" i="1"/>
  <c r="G364" i="1"/>
  <c r="G175" i="1"/>
  <c r="G191" i="1"/>
  <c r="G199" i="1"/>
  <c r="G203" i="1"/>
  <c r="G235" i="1"/>
  <c r="G239" i="1"/>
  <c r="G243" i="1"/>
  <c r="G267" i="1"/>
  <c r="G271" i="1"/>
  <c r="G275" i="1"/>
  <c r="G279" i="1"/>
  <c r="G295" i="1"/>
  <c r="G311" i="1"/>
  <c r="G403" i="1"/>
  <c r="G407" i="1"/>
  <c r="G415" i="1"/>
  <c r="G427" i="1"/>
  <c r="G431" i="1"/>
  <c r="G459" i="1"/>
  <c r="G463" i="1"/>
  <c r="G467" i="1"/>
  <c r="G2" i="1"/>
  <c r="G6" i="1"/>
  <c r="G10" i="1"/>
  <c r="G18" i="1"/>
  <c r="G22" i="1"/>
  <c r="G26" i="1"/>
  <c r="G42" i="1"/>
  <c r="G46" i="1"/>
  <c r="G122" i="1"/>
  <c r="G126" i="1"/>
  <c r="G134" i="1"/>
  <c r="G138" i="1"/>
  <c r="G154" i="1"/>
  <c r="G162" i="1"/>
  <c r="G166" i="1"/>
  <c r="G170" i="1"/>
  <c r="G178" i="1"/>
  <c r="G186" i="1"/>
  <c r="G190" i="1"/>
  <c r="G206" i="1"/>
  <c r="G218" i="1"/>
  <c r="G226" i="1"/>
  <c r="G230" i="1"/>
  <c r="G238" i="1"/>
  <c r="G250" i="1"/>
  <c r="G258" i="1"/>
  <c r="G302" i="1"/>
  <c r="G306" i="1"/>
  <c r="G310" i="1"/>
  <c r="G314" i="1"/>
  <c r="G330" i="1"/>
  <c r="G334" i="1"/>
  <c r="G346" i="1"/>
  <c r="G350" i="1"/>
  <c r="G370" i="1"/>
  <c r="G374" i="1"/>
  <c r="G378" i="1"/>
  <c r="G386" i="1"/>
  <c r="G390" i="1"/>
  <c r="G394" i="1"/>
  <c r="G398" i="1"/>
  <c r="G402" i="1"/>
  <c r="G406" i="1"/>
  <c r="G414" i="1"/>
  <c r="G418" i="1"/>
  <c r="G438" i="1"/>
  <c r="G446" i="1"/>
  <c r="G450" i="1"/>
  <c r="G454" i="1"/>
  <c r="G458" i="1"/>
  <c r="G25" i="1"/>
  <c r="G29" i="1"/>
  <c r="G33" i="1"/>
  <c r="G37" i="1"/>
  <c r="G49" i="1"/>
  <c r="G53" i="1"/>
  <c r="G57" i="1"/>
  <c r="G61" i="1"/>
  <c r="G69" i="1"/>
  <c r="G73" i="1"/>
  <c r="G77" i="1"/>
  <c r="G81" i="1"/>
  <c r="G97" i="1"/>
  <c r="G101" i="1"/>
  <c r="G113" i="1"/>
  <c r="G117" i="1"/>
  <c r="G121" i="1"/>
  <c r="G125" i="1"/>
  <c r="G129" i="1"/>
  <c r="G141" i="1"/>
  <c r="G145" i="1"/>
  <c r="G149" i="1"/>
  <c r="G173" i="1"/>
  <c r="G177" i="1"/>
  <c r="G189" i="1"/>
  <c r="G221" i="1"/>
  <c r="G333" i="1"/>
  <c r="G337" i="1"/>
  <c r="G341" i="1"/>
  <c r="G353" i="1"/>
  <c r="G369" i="1"/>
  <c r="G381" i="1"/>
  <c r="G385" i="1"/>
  <c r="G389" i="1"/>
  <c r="G405" i="1"/>
  <c r="G457" i="1"/>
  <c r="G465" i="1"/>
  <c r="G469" i="1"/>
  <c r="G225" i="1"/>
  <c r="G229" i="1"/>
  <c r="G233" i="1"/>
  <c r="G237" i="1"/>
  <c r="G241" i="1"/>
  <c r="G245" i="1"/>
  <c r="G265" i="1"/>
  <c r="G301" i="1"/>
  <c r="G305" i="1"/>
  <c r="G317" i="1"/>
  <c r="G321" i="1"/>
  <c r="G325" i="1"/>
  <c r="G448" i="1"/>
  <c r="G282" i="1"/>
  <c r="G294" i="1"/>
  <c r="G362" i="1"/>
  <c r="G205" i="1"/>
  <c r="G452" i="1"/>
  <c r="G224" i="1"/>
  <c r="G269" i="1"/>
  <c r="G289" i="1"/>
  <c r="G409" i="1"/>
  <c r="G421" i="1"/>
  <c r="G17" i="1"/>
  <c r="G45" i="1"/>
  <c r="G329" i="1"/>
  <c r="G460" i="1"/>
  <c r="G93" i="1"/>
  <c r="G56" i="1"/>
  <c r="G7" i="1"/>
  <c r="G31" i="1"/>
  <c r="G35" i="1"/>
  <c r="G47" i="1"/>
  <c r="G51" i="1"/>
  <c r="G80" i="1"/>
  <c r="G96" i="1"/>
  <c r="G198" i="1"/>
  <c r="G262" i="1"/>
  <c r="G323" i="1"/>
  <c r="G339" i="1"/>
  <c r="G343" i="1"/>
  <c r="G410" i="1"/>
  <c r="G313" i="1"/>
  <c r="G65" i="1"/>
  <c r="G109" i="1"/>
  <c r="G32" i="1"/>
  <c r="G174" i="1"/>
  <c r="G79" i="1"/>
  <c r="G95" i="1"/>
  <c r="G99" i="1"/>
  <c r="G115" i="1"/>
  <c r="G132" i="1"/>
  <c r="G136" i="1"/>
  <c r="G153" i="1"/>
  <c r="G169" i="1"/>
  <c r="G193" i="1"/>
  <c r="G197" i="1"/>
  <c r="G201" i="1"/>
  <c r="G266" i="1"/>
  <c r="G286" i="1"/>
  <c r="G290" i="1"/>
  <c r="G355" i="1"/>
  <c r="G359" i="1"/>
  <c r="G393" i="1"/>
  <c r="G401" i="1"/>
  <c r="G425" i="1"/>
  <c r="G429" i="1"/>
  <c r="G433" i="1"/>
  <c r="G441" i="1"/>
  <c r="G445" i="1"/>
  <c r="G449" i="1"/>
  <c r="G453" i="1"/>
  <c r="G240" i="1"/>
  <c r="G62" i="1"/>
  <c r="G78" i="1"/>
  <c r="G90" i="1"/>
  <c r="G106" i="1"/>
  <c r="G110" i="1"/>
  <c r="G196" i="1"/>
  <c r="G213" i="1"/>
  <c r="G249" i="1"/>
  <c r="G273" i="1"/>
  <c r="G277" i="1"/>
  <c r="G293" i="1"/>
  <c r="G298" i="1"/>
  <c r="G326" i="1"/>
  <c r="G342" i="1"/>
  <c r="G354" i="1"/>
  <c r="G358" i="1"/>
  <c r="G13" i="1"/>
  <c r="G21" i="1"/>
  <c r="G30" i="1"/>
  <c r="G48" i="1"/>
  <c r="G52" i="1"/>
  <c r="G74" i="1"/>
  <c r="G83" i="1"/>
  <c r="G105" i="1"/>
  <c r="G127" i="1"/>
  <c r="G140" i="1"/>
  <c r="G144" i="1"/>
  <c r="G157" i="1"/>
  <c r="G161" i="1"/>
  <c r="G165" i="1"/>
  <c r="G183" i="1"/>
  <c r="G187" i="1"/>
  <c r="G209" i="1"/>
  <c r="G234" i="1"/>
  <c r="G247" i="1"/>
  <c r="G259" i="1"/>
  <c r="G281" i="1"/>
  <c r="G285" i="1"/>
  <c r="G307" i="1"/>
  <c r="G316" i="1"/>
  <c r="G338" i="1"/>
  <c r="G373" i="1"/>
  <c r="G382" i="1"/>
  <c r="G391" i="1"/>
  <c r="G413" i="1"/>
  <c r="G417" i="1"/>
  <c r="G426" i="1"/>
  <c r="G455" i="1"/>
  <c r="G217" i="1"/>
  <c r="G377" i="1"/>
  <c r="G148" i="1"/>
  <c r="G12" i="1"/>
  <c r="G64" i="1"/>
  <c r="G182" i="1"/>
  <c r="G208" i="1"/>
  <c r="G297" i="1"/>
  <c r="G416" i="1"/>
  <c r="G420" i="1"/>
  <c r="G11" i="1"/>
  <c r="G15" i="1"/>
  <c r="G23" i="1"/>
  <c r="G41" i="1"/>
  <c r="G63" i="1"/>
  <c r="G76" i="1"/>
  <c r="G85" i="1"/>
  <c r="G94" i="1"/>
  <c r="G112" i="1"/>
  <c r="G116" i="1"/>
  <c r="G142" i="1"/>
  <c r="G151" i="1"/>
  <c r="G163" i="1"/>
  <c r="G181" i="1"/>
  <c r="G185" i="1"/>
  <c r="G207" i="1"/>
  <c r="G211" i="1"/>
  <c r="G228" i="1"/>
  <c r="G232" i="1"/>
  <c r="G253" i="1"/>
  <c r="G257" i="1"/>
  <c r="G261" i="1"/>
  <c r="G270" i="1"/>
  <c r="G309" i="1"/>
  <c r="G318" i="1"/>
  <c r="G327" i="1"/>
  <c r="G345" i="1"/>
  <c r="G349" i="1"/>
  <c r="G371" i="1"/>
  <c r="G380" i="1"/>
  <c r="G437" i="1"/>
  <c r="G58" i="1"/>
  <c r="G67" i="1"/>
  <c r="G89" i="1"/>
  <c r="G111" i="1"/>
  <c r="G124" i="1"/>
  <c r="G146" i="1"/>
  <c r="G171" i="1"/>
  <c r="G194" i="1"/>
  <c r="G202" i="1"/>
  <c r="G215" i="1"/>
  <c r="G227" i="1"/>
  <c r="G291" i="1"/>
  <c r="G300" i="1"/>
  <c r="G322" i="1"/>
  <c r="G357" i="1"/>
  <c r="G366" i="1"/>
  <c r="G375" i="1"/>
  <c r="G397" i="1"/>
  <c r="G423" i="1"/>
  <c r="G428" i="1"/>
  <c r="G461" i="1"/>
  <c r="G128" i="1"/>
  <c r="G260" i="1"/>
  <c r="G264" i="1"/>
  <c r="G361" i="1"/>
  <c r="G365" i="1"/>
  <c r="G387" i="1"/>
  <c r="G396" i="1"/>
  <c r="G422" i="1"/>
  <c r="G435" i="1"/>
  <c r="G447" i="1"/>
  <c r="G133" i="1"/>
  <c r="G212" i="1"/>
  <c r="G248" i="1"/>
  <c r="G436" i="1"/>
  <c r="G220" i="1"/>
  <c r="G252" i="1"/>
  <c r="G440" i="1"/>
  <c r="G244" i="1"/>
  <c r="G152" i="1"/>
  <c r="G156" i="1"/>
  <c r="G5" i="1"/>
  <c r="G14" i="1"/>
  <c r="G19" i="1"/>
  <c r="G155" i="1"/>
  <c r="G160" i="1"/>
  <c r="G179" i="1"/>
  <c r="G195" i="1"/>
  <c r="G210" i="1"/>
  <c r="G219" i="1"/>
  <c r="G242" i="1"/>
  <c r="G251" i="1"/>
  <c r="G256" i="1"/>
  <c r="G274" i="1"/>
  <c r="G412" i="1"/>
  <c r="G430" i="1"/>
  <c r="G439" i="1"/>
  <c r="G444" i="1"/>
  <c r="G462" i="1"/>
  <c r="G137" i="1"/>
  <c r="G432" i="1"/>
  <c r="G464" i="1"/>
  <c r="G9" i="1"/>
  <c r="G34" i="1"/>
  <c r="G39" i="1"/>
  <c r="G50" i="1"/>
  <c r="G55" i="1"/>
  <c r="G66" i="1"/>
  <c r="G71" i="1"/>
  <c r="G82" i="1"/>
  <c r="G87" i="1"/>
  <c r="G98" i="1"/>
  <c r="G103" i="1"/>
  <c r="G114" i="1"/>
  <c r="G119" i="1"/>
  <c r="G130" i="1"/>
  <c r="G139" i="1"/>
  <c r="G150" i="1"/>
  <c r="G159" i="1"/>
  <c r="G214" i="1"/>
  <c r="G223" i="1"/>
  <c r="G246" i="1"/>
  <c r="G255" i="1"/>
  <c r="G278" i="1"/>
  <c r="G283" i="1"/>
  <c r="G299" i="1"/>
  <c r="G315" i="1"/>
  <c r="G331" i="1"/>
  <c r="G347" i="1"/>
  <c r="G363" i="1"/>
  <c r="G379" i="1"/>
  <c r="G395" i="1"/>
  <c r="G411" i="1"/>
  <c r="G434" i="1"/>
  <c r="G443" i="1"/>
  <c r="G466" i="1"/>
  <c r="G3" i="1"/>
  <c r="G27" i="1"/>
  <c r="G38" i="1"/>
  <c r="G43" i="1"/>
  <c r="G54" i="1"/>
  <c r="G59" i="1"/>
  <c r="G70" i="1"/>
  <c r="G75" i="1"/>
  <c r="G86" i="1"/>
  <c r="G91" i="1"/>
  <c r="G102" i="1"/>
  <c r="G107" i="1"/>
  <c r="G118" i="1"/>
  <c r="G123" i="1"/>
  <c r="G143" i="1"/>
  <c r="G158" i="1"/>
  <c r="G167" i="1"/>
  <c r="G204" i="1"/>
  <c r="G222" i="1"/>
  <c r="G231" i="1"/>
  <c r="G236" i="1"/>
  <c r="G254" i="1"/>
  <c r="G263" i="1"/>
  <c r="G268" i="1"/>
  <c r="G272" i="1"/>
  <c r="G287" i="1"/>
  <c r="G292" i="1"/>
  <c r="G303" i="1"/>
  <c r="G308" i="1"/>
  <c r="G319" i="1"/>
  <c r="G324" i="1"/>
  <c r="G335" i="1"/>
  <c r="G340" i="1"/>
  <c r="G351" i="1"/>
  <c r="G356" i="1"/>
  <c r="G367" i="1"/>
  <c r="G372" i="1"/>
  <c r="G383" i="1"/>
  <c r="G388" i="1"/>
  <c r="G399" i="1"/>
  <c r="G404" i="1"/>
  <c r="G419" i="1"/>
  <c r="G424" i="1"/>
  <c r="G442" i="1"/>
  <c r="G451" i="1"/>
  <c r="G456" i="1"/>
  <c r="G135" i="1"/>
  <c r="G164" i="1"/>
  <c r="G176" i="1"/>
  <c r="G184" i="1"/>
  <c r="G192" i="1"/>
  <c r="G200" i="1"/>
  <c r="G276" i="1"/>
  <c r="G131" i="1"/>
  <c r="G147" i="1"/>
  <c r="G168" i="1"/>
  <c r="G216" i="1"/>
  <c r="G280" i="1"/>
  <c r="G288" i="1"/>
  <c r="G296" i="1"/>
  <c r="G304" i="1"/>
  <c r="G312" i="1"/>
  <c r="G320" i="1"/>
  <c r="G328" i="1"/>
  <c r="G336" i="1"/>
  <c r="G344" i="1"/>
  <c r="G352" i="1"/>
  <c r="G360" i="1"/>
  <c r="G368" i="1"/>
  <c r="G376" i="1"/>
  <c r="G384" i="1"/>
  <c r="G392" i="1"/>
  <c r="G400" i="1"/>
  <c r="G408" i="1"/>
  <c r="G468" i="1"/>
</calcChain>
</file>

<file path=xl/sharedStrings.xml><?xml version="1.0" encoding="utf-8"?>
<sst xmlns="http://schemas.openxmlformats.org/spreadsheetml/2006/main" count="75" uniqueCount="54">
  <si>
    <t>Date</t>
  </si>
  <si>
    <t>Store</t>
  </si>
  <si>
    <t>SalesPerson</t>
  </si>
  <si>
    <t>Product</t>
  </si>
  <si>
    <t>Quantity</t>
  </si>
  <si>
    <t>Price</t>
  </si>
  <si>
    <t>Total Sales</t>
  </si>
  <si>
    <t>Row Labels</t>
  </si>
  <si>
    <t>Grand Total</t>
  </si>
  <si>
    <t>Sum of Total Sales</t>
  </si>
  <si>
    <t>Jan</t>
  </si>
  <si>
    <t>Feb</t>
  </si>
  <si>
    <t>Mar</t>
  </si>
  <si>
    <t>Apr</t>
  </si>
  <si>
    <t>May</t>
  </si>
  <si>
    <t>Jun</t>
  </si>
  <si>
    <t>Jul</t>
  </si>
  <si>
    <t>Aug</t>
  </si>
  <si>
    <t>Sep</t>
  </si>
  <si>
    <t>Oct</t>
  </si>
  <si>
    <t>Nov</t>
  </si>
  <si>
    <t>Dec</t>
  </si>
  <si>
    <t>Product A</t>
  </si>
  <si>
    <t>Product B</t>
  </si>
  <si>
    <t>Product C</t>
  </si>
  <si>
    <t>Product D</t>
  </si>
  <si>
    <t>Product E</t>
  </si>
  <si>
    <t>Product F</t>
  </si>
  <si>
    <t>Product G</t>
  </si>
  <si>
    <t>Product H</t>
  </si>
  <si>
    <t>Product I</t>
  </si>
  <si>
    <t>Product J</t>
  </si>
  <si>
    <t>(All)</t>
  </si>
  <si>
    <t>Store A</t>
  </si>
  <si>
    <t>Store B</t>
  </si>
  <si>
    <t>Store C</t>
  </si>
  <si>
    <t>Store D</t>
  </si>
  <si>
    <t>Store E</t>
  </si>
  <si>
    <t>Store F</t>
  </si>
  <si>
    <t>Store G</t>
  </si>
  <si>
    <t>Store H</t>
  </si>
  <si>
    <t>Store I</t>
  </si>
  <si>
    <t>Store J</t>
  </si>
  <si>
    <t>Rep A</t>
  </si>
  <si>
    <t>Rep B</t>
  </si>
  <si>
    <t>Rep C</t>
  </si>
  <si>
    <t>Rep D</t>
  </si>
  <si>
    <t>Rep E</t>
  </si>
  <si>
    <t>Rep F</t>
  </si>
  <si>
    <t>Rep G</t>
  </si>
  <si>
    <t>Rep H</t>
  </si>
  <si>
    <t>Rep I</t>
  </si>
  <si>
    <t>Rep J</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</si>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</sst>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 #,##0.00"/>
    <numFmt numFmtId="165" formatCode="_ [$₹-439]* #,##0.00_ ;_ [$₹-439]* \-#,##0.00_ ;_ [$₹-439]*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NumberFormat="1"/>
    <xf numFmtId="165"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 Tables!PivotTable6</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'Pivot Tables'!$B$18:$B$19</c:f>
              <c:strCache>
                <c:ptCount val="1"/>
                <c:pt idx="0">
                  <c:v>Rep A</c:v>
                </c:pt>
              </c:strCache>
            </c:strRef>
          </c:tx>
          <c:spPr>
            <a:solidFill>
              <a:schemeClr val="accent1"/>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Tables'!$B$20:$B$30</c:f>
              <c:numCache>
                <c:formatCode>General</c:formatCode>
                <c:ptCount val="10"/>
                <c:pt idx="0">
                  <c:v>1694.6000000000001</c:v>
                </c:pt>
                <c:pt idx="1">
                  <c:v>1890.55</c:v>
                </c:pt>
                <c:pt idx="2">
                  <c:v>570.98</c:v>
                </c:pt>
                <c:pt idx="3">
                  <c:v>1203.92</c:v>
                </c:pt>
                <c:pt idx="4">
                  <c:v>1789.34</c:v>
                </c:pt>
                <c:pt idx="5">
                  <c:v>1085.3000000000002</c:v>
                </c:pt>
                <c:pt idx="6">
                  <c:v>1330.8400000000001</c:v>
                </c:pt>
                <c:pt idx="7">
                  <c:v>2499.85</c:v>
                </c:pt>
                <c:pt idx="8">
                  <c:v>334.53</c:v>
                </c:pt>
                <c:pt idx="9">
                  <c:v>1178.97</c:v>
                </c:pt>
              </c:numCache>
            </c:numRef>
          </c:val>
        </c:ser>
        <c:ser>
          <c:idx val="1"/>
          <c:order val="1"/>
          <c:tx>
            <c:strRef>
              <c:f>'Pivot Tables'!$C$18:$C$19</c:f>
              <c:strCache>
                <c:ptCount val="1"/>
                <c:pt idx="0">
                  <c:v>Rep B</c:v>
                </c:pt>
              </c:strCache>
            </c:strRef>
          </c:tx>
          <c:spPr>
            <a:solidFill>
              <a:schemeClr val="accent2"/>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Tables'!$C$20:$C$30</c:f>
              <c:numCache>
                <c:formatCode>General</c:formatCode>
                <c:ptCount val="10"/>
                <c:pt idx="0">
                  <c:v>2142.13</c:v>
                </c:pt>
                <c:pt idx="2">
                  <c:v>391.68</c:v>
                </c:pt>
                <c:pt idx="3">
                  <c:v>3173.8800000000006</c:v>
                </c:pt>
                <c:pt idx="4">
                  <c:v>2158.92</c:v>
                </c:pt>
                <c:pt idx="5">
                  <c:v>5550.3200000000006</c:v>
                </c:pt>
                <c:pt idx="6">
                  <c:v>3772.5800000000004</c:v>
                </c:pt>
                <c:pt idx="7">
                  <c:v>3509.71</c:v>
                </c:pt>
                <c:pt idx="8">
                  <c:v>1940.91</c:v>
                </c:pt>
                <c:pt idx="9">
                  <c:v>437.58</c:v>
                </c:pt>
              </c:numCache>
            </c:numRef>
          </c:val>
        </c:ser>
        <c:ser>
          <c:idx val="2"/>
          <c:order val="2"/>
          <c:tx>
            <c:strRef>
              <c:f>'Pivot Tables'!$D$18:$D$19</c:f>
              <c:strCache>
                <c:ptCount val="1"/>
                <c:pt idx="0">
                  <c:v>Rep C</c:v>
                </c:pt>
              </c:strCache>
            </c:strRef>
          </c:tx>
          <c:spPr>
            <a:solidFill>
              <a:schemeClr val="accent3"/>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Tables'!$D$20:$D$30</c:f>
              <c:numCache>
                <c:formatCode>General</c:formatCode>
                <c:ptCount val="10"/>
                <c:pt idx="0">
                  <c:v>3617.56</c:v>
                </c:pt>
                <c:pt idx="1">
                  <c:v>4611.8099999999995</c:v>
                </c:pt>
                <c:pt idx="2">
                  <c:v>1918.07</c:v>
                </c:pt>
                <c:pt idx="3">
                  <c:v>1174.56</c:v>
                </c:pt>
                <c:pt idx="4">
                  <c:v>2013.87</c:v>
                </c:pt>
                <c:pt idx="5">
                  <c:v>1578.8999999999999</c:v>
                </c:pt>
                <c:pt idx="6">
                  <c:v>1837.6600000000003</c:v>
                </c:pt>
                <c:pt idx="7">
                  <c:v>1559.06</c:v>
                </c:pt>
                <c:pt idx="8">
                  <c:v>819.14</c:v>
                </c:pt>
                <c:pt idx="9">
                  <c:v>1981.3799999999999</c:v>
                </c:pt>
              </c:numCache>
            </c:numRef>
          </c:val>
        </c:ser>
        <c:ser>
          <c:idx val="3"/>
          <c:order val="3"/>
          <c:tx>
            <c:strRef>
              <c:f>'Pivot Tables'!$E$18:$E$19</c:f>
              <c:strCache>
                <c:ptCount val="1"/>
                <c:pt idx="0">
                  <c:v>Rep D</c:v>
                </c:pt>
              </c:strCache>
            </c:strRef>
          </c:tx>
          <c:spPr>
            <a:solidFill>
              <a:schemeClr val="accent4"/>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Tables'!$E$20:$E$30</c:f>
              <c:numCache>
                <c:formatCode>General</c:formatCode>
                <c:ptCount val="10"/>
                <c:pt idx="0">
                  <c:v>147.65</c:v>
                </c:pt>
                <c:pt idx="1">
                  <c:v>1233.54</c:v>
                </c:pt>
                <c:pt idx="2">
                  <c:v>3556.03</c:v>
                </c:pt>
                <c:pt idx="3">
                  <c:v>2377.5300000000002</c:v>
                </c:pt>
                <c:pt idx="4">
                  <c:v>704.14</c:v>
                </c:pt>
                <c:pt idx="5">
                  <c:v>1965.0099999999998</c:v>
                </c:pt>
                <c:pt idx="6">
                  <c:v>1233.8299999999997</c:v>
                </c:pt>
                <c:pt idx="7">
                  <c:v>2741.24</c:v>
                </c:pt>
                <c:pt idx="8">
                  <c:v>2979.3</c:v>
                </c:pt>
                <c:pt idx="9">
                  <c:v>3100.8999999999996</c:v>
                </c:pt>
              </c:numCache>
            </c:numRef>
          </c:val>
        </c:ser>
        <c:ser>
          <c:idx val="4"/>
          <c:order val="4"/>
          <c:tx>
            <c:strRef>
              <c:f>'Pivot Tables'!$F$18:$F$19</c:f>
              <c:strCache>
                <c:ptCount val="1"/>
                <c:pt idx="0">
                  <c:v>Rep E</c:v>
                </c:pt>
              </c:strCache>
            </c:strRef>
          </c:tx>
          <c:spPr>
            <a:solidFill>
              <a:schemeClr val="accent5"/>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Tables'!$F$20:$F$30</c:f>
              <c:numCache>
                <c:formatCode>General</c:formatCode>
                <c:ptCount val="10"/>
                <c:pt idx="0">
                  <c:v>2178.9300000000003</c:v>
                </c:pt>
                <c:pt idx="1">
                  <c:v>1258.68</c:v>
                </c:pt>
                <c:pt idx="2">
                  <c:v>2658.44</c:v>
                </c:pt>
                <c:pt idx="3">
                  <c:v>2500.9299999999998</c:v>
                </c:pt>
                <c:pt idx="4">
                  <c:v>2615.9</c:v>
                </c:pt>
                <c:pt idx="5">
                  <c:v>1021.99</c:v>
                </c:pt>
                <c:pt idx="6">
                  <c:v>3444.7200000000003</c:v>
                </c:pt>
                <c:pt idx="7">
                  <c:v>2589.65</c:v>
                </c:pt>
                <c:pt idx="9">
                  <c:v>1659.48</c:v>
                </c:pt>
              </c:numCache>
            </c:numRef>
          </c:val>
        </c:ser>
        <c:ser>
          <c:idx val="5"/>
          <c:order val="5"/>
          <c:tx>
            <c:strRef>
              <c:f>'Pivot Tables'!$G$18:$G$19</c:f>
              <c:strCache>
                <c:ptCount val="1"/>
                <c:pt idx="0">
                  <c:v>Rep F</c:v>
                </c:pt>
              </c:strCache>
            </c:strRef>
          </c:tx>
          <c:spPr>
            <a:solidFill>
              <a:schemeClr val="accent6"/>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Tables'!$G$20:$G$30</c:f>
              <c:numCache>
                <c:formatCode>General</c:formatCode>
                <c:ptCount val="10"/>
                <c:pt idx="0">
                  <c:v>676.80000000000007</c:v>
                </c:pt>
                <c:pt idx="1">
                  <c:v>3155.23</c:v>
                </c:pt>
                <c:pt idx="2">
                  <c:v>2284.23</c:v>
                </c:pt>
                <c:pt idx="3">
                  <c:v>917.85</c:v>
                </c:pt>
                <c:pt idx="4">
                  <c:v>2042.5299999999997</c:v>
                </c:pt>
                <c:pt idx="5">
                  <c:v>1672.73</c:v>
                </c:pt>
                <c:pt idx="6">
                  <c:v>2685.3199999999997</c:v>
                </c:pt>
                <c:pt idx="7">
                  <c:v>4747.2999999999993</c:v>
                </c:pt>
                <c:pt idx="8">
                  <c:v>3221.1699999999996</c:v>
                </c:pt>
                <c:pt idx="9">
                  <c:v>1769.11</c:v>
                </c:pt>
              </c:numCache>
            </c:numRef>
          </c:val>
        </c:ser>
        <c:ser>
          <c:idx val="6"/>
          <c:order val="6"/>
          <c:tx>
            <c:strRef>
              <c:f>'Pivot Tables'!$H$18:$H$19</c:f>
              <c:strCache>
                <c:ptCount val="1"/>
                <c:pt idx="0">
                  <c:v>Rep G</c:v>
                </c:pt>
              </c:strCache>
            </c:strRef>
          </c:tx>
          <c:spPr>
            <a:solidFill>
              <a:schemeClr val="accent1">
                <a:lumMod val="60000"/>
              </a:schemeClr>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Tables'!$H$20:$H$30</c:f>
              <c:numCache>
                <c:formatCode>General</c:formatCode>
                <c:ptCount val="10"/>
                <c:pt idx="0">
                  <c:v>1281.3499999999999</c:v>
                </c:pt>
                <c:pt idx="1">
                  <c:v>123.48999999999998</c:v>
                </c:pt>
                <c:pt idx="2">
                  <c:v>3265.84</c:v>
                </c:pt>
                <c:pt idx="3">
                  <c:v>1816.8400000000001</c:v>
                </c:pt>
                <c:pt idx="4">
                  <c:v>1711.48</c:v>
                </c:pt>
                <c:pt idx="5">
                  <c:v>4300.57</c:v>
                </c:pt>
                <c:pt idx="6">
                  <c:v>3689</c:v>
                </c:pt>
                <c:pt idx="7">
                  <c:v>1833.8000000000002</c:v>
                </c:pt>
                <c:pt idx="8">
                  <c:v>1089.77</c:v>
                </c:pt>
                <c:pt idx="9">
                  <c:v>1752.3899999999999</c:v>
                </c:pt>
              </c:numCache>
            </c:numRef>
          </c:val>
        </c:ser>
        <c:ser>
          <c:idx val="7"/>
          <c:order val="7"/>
          <c:tx>
            <c:strRef>
              <c:f>'Pivot Tables'!$I$18:$I$19</c:f>
              <c:strCache>
                <c:ptCount val="1"/>
                <c:pt idx="0">
                  <c:v>Rep H</c:v>
                </c:pt>
              </c:strCache>
            </c:strRef>
          </c:tx>
          <c:spPr>
            <a:solidFill>
              <a:schemeClr val="accent2">
                <a:lumMod val="60000"/>
              </a:schemeClr>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Tables'!$I$20:$I$30</c:f>
              <c:numCache>
                <c:formatCode>General</c:formatCode>
                <c:ptCount val="10"/>
                <c:pt idx="0">
                  <c:v>1127.21</c:v>
                </c:pt>
                <c:pt idx="1">
                  <c:v>188.63</c:v>
                </c:pt>
                <c:pt idx="2">
                  <c:v>1643.99</c:v>
                </c:pt>
                <c:pt idx="3">
                  <c:v>1730.91</c:v>
                </c:pt>
                <c:pt idx="4">
                  <c:v>2256.58</c:v>
                </c:pt>
                <c:pt idx="5">
                  <c:v>1753.3500000000001</c:v>
                </c:pt>
                <c:pt idx="6">
                  <c:v>2417.48</c:v>
                </c:pt>
                <c:pt idx="7">
                  <c:v>1512.62</c:v>
                </c:pt>
                <c:pt idx="8">
                  <c:v>961.62</c:v>
                </c:pt>
                <c:pt idx="9">
                  <c:v>3034.86</c:v>
                </c:pt>
              </c:numCache>
            </c:numRef>
          </c:val>
        </c:ser>
        <c:ser>
          <c:idx val="8"/>
          <c:order val="8"/>
          <c:tx>
            <c:strRef>
              <c:f>'Pivot Tables'!$J$18:$J$19</c:f>
              <c:strCache>
                <c:ptCount val="1"/>
                <c:pt idx="0">
                  <c:v>Rep I</c:v>
                </c:pt>
              </c:strCache>
            </c:strRef>
          </c:tx>
          <c:spPr>
            <a:solidFill>
              <a:schemeClr val="accent3">
                <a:lumMod val="60000"/>
              </a:schemeClr>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Tables'!$J$20:$J$30</c:f>
              <c:numCache>
                <c:formatCode>General</c:formatCode>
                <c:ptCount val="10"/>
                <c:pt idx="0">
                  <c:v>2016.8600000000001</c:v>
                </c:pt>
                <c:pt idx="1">
                  <c:v>1207.5</c:v>
                </c:pt>
                <c:pt idx="2">
                  <c:v>1777.62</c:v>
                </c:pt>
                <c:pt idx="3">
                  <c:v>1629.76</c:v>
                </c:pt>
                <c:pt idx="4">
                  <c:v>2103.8000000000002</c:v>
                </c:pt>
                <c:pt idx="5">
                  <c:v>595.84</c:v>
                </c:pt>
                <c:pt idx="6">
                  <c:v>973.69</c:v>
                </c:pt>
                <c:pt idx="7">
                  <c:v>2585.9299999999998</c:v>
                </c:pt>
                <c:pt idx="8">
                  <c:v>1660.57</c:v>
                </c:pt>
                <c:pt idx="9">
                  <c:v>1098.54</c:v>
                </c:pt>
              </c:numCache>
            </c:numRef>
          </c:val>
        </c:ser>
        <c:ser>
          <c:idx val="9"/>
          <c:order val="9"/>
          <c:tx>
            <c:strRef>
              <c:f>'Pivot Tables'!$K$18:$K$19</c:f>
              <c:strCache>
                <c:ptCount val="1"/>
                <c:pt idx="0">
                  <c:v>Rep J</c:v>
                </c:pt>
              </c:strCache>
            </c:strRef>
          </c:tx>
          <c:spPr>
            <a:solidFill>
              <a:schemeClr val="accent4">
                <a:lumMod val="60000"/>
              </a:schemeClr>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Tables'!$K$20:$K$30</c:f>
              <c:numCache>
                <c:formatCode>General</c:formatCode>
                <c:ptCount val="10"/>
                <c:pt idx="0">
                  <c:v>1695.16</c:v>
                </c:pt>
                <c:pt idx="1">
                  <c:v>1566.72</c:v>
                </c:pt>
                <c:pt idx="2">
                  <c:v>1278.28</c:v>
                </c:pt>
                <c:pt idx="3">
                  <c:v>688.25</c:v>
                </c:pt>
                <c:pt idx="4">
                  <c:v>2495.7700000000004</c:v>
                </c:pt>
                <c:pt idx="5">
                  <c:v>1658.31</c:v>
                </c:pt>
                <c:pt idx="6">
                  <c:v>1124.43</c:v>
                </c:pt>
                <c:pt idx="7">
                  <c:v>1148.1600000000001</c:v>
                </c:pt>
                <c:pt idx="8">
                  <c:v>961.15</c:v>
                </c:pt>
                <c:pt idx="9">
                  <c:v>1579.68</c:v>
                </c:pt>
              </c:numCache>
            </c:numRef>
          </c:val>
        </c:ser>
        <c:dLbls>
          <c:showLegendKey val="0"/>
          <c:showVal val="0"/>
          <c:showCatName val="0"/>
          <c:showSerName val="0"/>
          <c:showPercent val="0"/>
          <c:showBubbleSize val="0"/>
        </c:dLbls>
        <c:gapWidth val="150"/>
        <c:overlap val="100"/>
        <c:axId val="2087541232"/>
        <c:axId val="2087538512"/>
      </c:barChart>
      <c:catAx>
        <c:axId val="208754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38512"/>
        <c:crosses val="autoZero"/>
        <c:auto val="1"/>
        <c:lblAlgn val="ctr"/>
        <c:lblOffset val="100"/>
        <c:noMultiLvlLbl val="0"/>
      </c:catAx>
      <c:valAx>
        <c:axId val="208753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412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_ [$₹-439]* #,##0.00_ ;_ [$₹-439]* \-#,##0.00_ ;_ [$₹-439]* "-"??_ ;_ @_ </c:formatCode>
                <c:ptCount val="12"/>
                <c:pt idx="0">
                  <c:v>18768.570000000003</c:v>
                </c:pt>
                <c:pt idx="1">
                  <c:v>14210.63</c:v>
                </c:pt>
                <c:pt idx="2">
                  <c:v>15259.43</c:v>
                </c:pt>
                <c:pt idx="3">
                  <c:v>21762.709999999995</c:v>
                </c:pt>
                <c:pt idx="4">
                  <c:v>15363.500000000002</c:v>
                </c:pt>
                <c:pt idx="5">
                  <c:v>12331.509999999998</c:v>
                </c:pt>
                <c:pt idx="6">
                  <c:v>17712.740000000002</c:v>
                </c:pt>
                <c:pt idx="7">
                  <c:v>7309.3499999999995</c:v>
                </c:pt>
                <c:pt idx="8">
                  <c:v>16816.009999999998</c:v>
                </c:pt>
                <c:pt idx="9">
                  <c:v>12964.829999999998</c:v>
                </c:pt>
                <c:pt idx="10">
                  <c:v>18500.109999999997</c:v>
                </c:pt>
                <c:pt idx="11">
                  <c:v>17247.169999999995</c:v>
                </c:pt>
              </c:numCache>
            </c:numRef>
          </c:val>
        </c:ser>
        <c:dLbls>
          <c:showLegendKey val="0"/>
          <c:showVal val="0"/>
          <c:showCatName val="0"/>
          <c:showSerName val="0"/>
          <c:showPercent val="0"/>
          <c:showBubbleSize val="0"/>
        </c:dLbls>
        <c:gapWidth val="50"/>
        <c:overlap val="-27"/>
        <c:axId val="2087546672"/>
        <c:axId val="2087541776"/>
      </c:barChart>
      <c:catAx>
        <c:axId val="20875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41776"/>
        <c:crosses val="autoZero"/>
        <c:auto val="1"/>
        <c:lblAlgn val="ctr"/>
        <c:lblOffset val="100"/>
        <c:noMultiLvlLbl val="0"/>
      </c:catAx>
      <c:valAx>
        <c:axId val="2087541776"/>
        <c:scaling>
          <c:orientation val="minMax"/>
        </c:scaling>
        <c:delete val="0"/>
        <c:axPos val="l"/>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46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 Sales dashboard.xlsx]Pivot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p>
        </c:rich>
      </c:tx>
      <c:layout>
        <c:manualLayout>
          <c:xMode val="edge"/>
          <c:yMode val="edge"/>
          <c:x val="0.33627970577751853"/>
          <c:y val="1.02564102564102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Tables'!$D$4:$D$14</c:f>
              <c:strCache>
                <c:ptCount val="10"/>
                <c:pt idx="0">
                  <c:v>Product A</c:v>
                </c:pt>
                <c:pt idx="1">
                  <c:v>Product B</c:v>
                </c:pt>
                <c:pt idx="2">
                  <c:v>Product C</c:v>
                </c:pt>
                <c:pt idx="3">
                  <c:v>Product D</c:v>
                </c:pt>
                <c:pt idx="4">
                  <c:v>Product E</c:v>
                </c:pt>
                <c:pt idx="5">
                  <c:v>Product F</c:v>
                </c:pt>
                <c:pt idx="6">
                  <c:v>Product G</c:v>
                </c:pt>
                <c:pt idx="7">
                  <c:v>Product H</c:v>
                </c:pt>
                <c:pt idx="8">
                  <c:v>Product I</c:v>
                </c:pt>
                <c:pt idx="9">
                  <c:v>Product J</c:v>
                </c:pt>
              </c:strCache>
            </c:strRef>
          </c:cat>
          <c:val>
            <c:numRef>
              <c:f>'Pivot Tables'!$E$4:$E$14</c:f>
              <c:numCache>
                <c:formatCode>_ [$₹-439]* #,##0.00_ ;_ [$₹-439]* \-#,##0.00_ ;_ [$₹-439]* "-"??_ ;_ @_ </c:formatCode>
                <c:ptCount val="10"/>
                <c:pt idx="0">
                  <c:v>18643.52</c:v>
                </c:pt>
                <c:pt idx="1">
                  <c:v>25048.17</c:v>
                </c:pt>
                <c:pt idx="2">
                  <c:v>15030.360000000002</c:v>
                </c:pt>
                <c:pt idx="3">
                  <c:v>11904.890000000003</c:v>
                </c:pt>
                <c:pt idx="4">
                  <c:v>17941.139999999989</c:v>
                </c:pt>
                <c:pt idx="5">
                  <c:v>22592.820000000011</c:v>
                </c:pt>
                <c:pt idx="6">
                  <c:v>21216.219999999998</c:v>
                </c:pt>
                <c:pt idx="7">
                  <c:v>17261.239999999991</c:v>
                </c:pt>
                <c:pt idx="8">
                  <c:v>22840.43</c:v>
                </c:pt>
                <c:pt idx="9">
                  <c:v>15767.769999999999</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 Sales dashboard.xlsx]Pivot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store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066870739518216"/>
              <c:y val="-4.185644188938079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dLbl>
          <c:idx val="0"/>
          <c:layout>
            <c:manualLayout>
              <c:x val="0.2636611407180659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dLbl>
          <c:idx val="0"/>
          <c:layout>
            <c:manualLayout>
              <c:x val="0.4006427065469274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dLbl>
          <c:idx val="0"/>
          <c:layout>
            <c:manualLayout>
              <c:x val="0.36928433126187094"/>
              <c:y val="-8.371288377876159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dLbl>
          <c:idx val="0"/>
          <c:layout>
            <c:manualLayout>
              <c:x val="0.35863148254009231"/>
              <c:y val="4.56621004566201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0.34220779779576721"/>
              <c:y val="-8.371288377876159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dLbl>
          <c:idx val="0"/>
          <c:layout>
            <c:manualLayout>
              <c:x val="0.31123642331593798"/>
              <c:y val="-8.371288377876159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dLbl>
          <c:idx val="0"/>
          <c:layout>
            <c:manualLayout>
              <c:x val="0.3289964164315527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dLbl>
          <c:idx val="0"/>
          <c:layout>
            <c:manualLayout>
              <c:x val="0.27668197213053297"/>
              <c:y val="-1.6742576755752318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c:spPr>
        <c:dLbl>
          <c:idx val="0"/>
          <c:layout>
            <c:manualLayout>
              <c:x val="0.3000143834479706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Tables'!$H$3</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Lbls>
            <c:dLbl>
              <c:idx val="0"/>
              <c:layout>
                <c:manualLayout>
                  <c:x val="0.30001438344797066"/>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27668197213053297"/>
                  <c:y val="-1.6742576755752318E-16"/>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32899641643155275"/>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31123642331593798"/>
                  <c:y val="-8.3712883778761592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34220779779576721"/>
                  <c:y val="-8.3712883778761592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35863148254009231"/>
                  <c:y val="4.5662100456620169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36928433126187094"/>
                  <c:y val="-8.3712883778761592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40064270654692741"/>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26366114071806596"/>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3066870739518216"/>
                  <c:y val="-4.1856441889380796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Tables'!$H$4:$H$14</c:f>
              <c:numCache>
                <c:formatCode>_ [$₹-439]* #,##0.00_ ;_ [$₹-439]* \-#,##0.00_ ;_ [$₹-439]* "-"??_ ;_ @_ </c:formatCode>
                <c:ptCount val="10"/>
                <c:pt idx="0">
                  <c:v>16578.249999999996</c:v>
                </c:pt>
                <c:pt idx="1">
                  <c:v>15236.150000000003</c:v>
                </c:pt>
                <c:pt idx="2">
                  <c:v>19345.159999999996</c:v>
                </c:pt>
                <c:pt idx="3">
                  <c:v>17214.429999999993</c:v>
                </c:pt>
                <c:pt idx="4">
                  <c:v>19892.329999999991</c:v>
                </c:pt>
                <c:pt idx="5">
                  <c:v>21182.320000000003</c:v>
                </c:pt>
                <c:pt idx="6">
                  <c:v>22509.549999999992</c:v>
                </c:pt>
                <c:pt idx="7">
                  <c:v>24727.320000000003</c:v>
                </c:pt>
                <c:pt idx="8">
                  <c:v>13968.159999999998</c:v>
                </c:pt>
                <c:pt idx="9">
                  <c:v>17592.890000000007</c:v>
                </c:pt>
              </c:numCache>
            </c:numRef>
          </c:val>
        </c:ser>
        <c:dLbls>
          <c:showLegendKey val="0"/>
          <c:showVal val="0"/>
          <c:showCatName val="0"/>
          <c:showSerName val="0"/>
          <c:showPercent val="0"/>
          <c:showBubbleSize val="0"/>
        </c:dLbls>
        <c:gapWidth val="50"/>
        <c:overlap val="100"/>
        <c:axId val="2087542320"/>
        <c:axId val="2087536880"/>
      </c:barChart>
      <c:catAx>
        <c:axId val="208754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36880"/>
        <c:crosses val="autoZero"/>
        <c:auto val="1"/>
        <c:lblAlgn val="ctr"/>
        <c:lblOffset val="100"/>
        <c:noMultiLvlLbl val="0"/>
      </c:catAx>
      <c:valAx>
        <c:axId val="2087536880"/>
        <c:scaling>
          <c:orientation val="minMax"/>
        </c:scaling>
        <c:delete val="0"/>
        <c:axPos val="b"/>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42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Sales dashboard.xlsx]Pivot Tables!PivotTable6</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s>
    <c:plotArea>
      <c:layout/>
      <c:barChart>
        <c:barDir val="col"/>
        <c:grouping val="stacked"/>
        <c:varyColors val="0"/>
        <c:ser>
          <c:idx val="0"/>
          <c:order val="0"/>
          <c:tx>
            <c:strRef>
              <c:f>'Pivot Tables'!$B$18:$B$19</c:f>
              <c:strCache>
                <c:ptCount val="1"/>
                <c:pt idx="0">
                  <c:v>Rep A</c:v>
                </c:pt>
              </c:strCache>
            </c:strRef>
          </c:tx>
          <c:spPr>
            <a:solidFill>
              <a:schemeClr val="accent1"/>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Tables'!$B$20:$B$30</c:f>
              <c:numCache>
                <c:formatCode>General</c:formatCode>
                <c:ptCount val="10"/>
                <c:pt idx="0">
                  <c:v>1694.6000000000001</c:v>
                </c:pt>
                <c:pt idx="1">
                  <c:v>1890.55</c:v>
                </c:pt>
                <c:pt idx="2">
                  <c:v>570.98</c:v>
                </c:pt>
                <c:pt idx="3">
                  <c:v>1203.92</c:v>
                </c:pt>
                <c:pt idx="4">
                  <c:v>1789.34</c:v>
                </c:pt>
                <c:pt idx="5">
                  <c:v>1085.3000000000002</c:v>
                </c:pt>
                <c:pt idx="6">
                  <c:v>1330.8400000000001</c:v>
                </c:pt>
                <c:pt idx="7">
                  <c:v>2499.85</c:v>
                </c:pt>
                <c:pt idx="8">
                  <c:v>334.53</c:v>
                </c:pt>
                <c:pt idx="9">
                  <c:v>1178.97</c:v>
                </c:pt>
              </c:numCache>
            </c:numRef>
          </c:val>
        </c:ser>
        <c:ser>
          <c:idx val="1"/>
          <c:order val="1"/>
          <c:tx>
            <c:strRef>
              <c:f>'Pivot Tables'!$C$18:$C$19</c:f>
              <c:strCache>
                <c:ptCount val="1"/>
                <c:pt idx="0">
                  <c:v>Rep B</c:v>
                </c:pt>
              </c:strCache>
            </c:strRef>
          </c:tx>
          <c:spPr>
            <a:solidFill>
              <a:schemeClr val="accent2"/>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Tables'!$C$20:$C$30</c:f>
              <c:numCache>
                <c:formatCode>General</c:formatCode>
                <c:ptCount val="10"/>
                <c:pt idx="0">
                  <c:v>2142.13</c:v>
                </c:pt>
                <c:pt idx="2">
                  <c:v>391.68</c:v>
                </c:pt>
                <c:pt idx="3">
                  <c:v>3173.8800000000006</c:v>
                </c:pt>
                <c:pt idx="4">
                  <c:v>2158.92</c:v>
                </c:pt>
                <c:pt idx="5">
                  <c:v>5550.3200000000006</c:v>
                </c:pt>
                <c:pt idx="6">
                  <c:v>3772.5800000000004</c:v>
                </c:pt>
                <c:pt idx="7">
                  <c:v>3509.71</c:v>
                </c:pt>
                <c:pt idx="8">
                  <c:v>1940.91</c:v>
                </c:pt>
                <c:pt idx="9">
                  <c:v>437.58</c:v>
                </c:pt>
              </c:numCache>
            </c:numRef>
          </c:val>
        </c:ser>
        <c:ser>
          <c:idx val="2"/>
          <c:order val="2"/>
          <c:tx>
            <c:strRef>
              <c:f>'Pivot Tables'!$D$18:$D$19</c:f>
              <c:strCache>
                <c:ptCount val="1"/>
                <c:pt idx="0">
                  <c:v>Rep C</c:v>
                </c:pt>
              </c:strCache>
            </c:strRef>
          </c:tx>
          <c:spPr>
            <a:solidFill>
              <a:schemeClr val="accent3"/>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Tables'!$D$20:$D$30</c:f>
              <c:numCache>
                <c:formatCode>General</c:formatCode>
                <c:ptCount val="10"/>
                <c:pt idx="0">
                  <c:v>3617.56</c:v>
                </c:pt>
                <c:pt idx="1">
                  <c:v>4611.8099999999995</c:v>
                </c:pt>
                <c:pt idx="2">
                  <c:v>1918.07</c:v>
                </c:pt>
                <c:pt idx="3">
                  <c:v>1174.56</c:v>
                </c:pt>
                <c:pt idx="4">
                  <c:v>2013.87</c:v>
                </c:pt>
                <c:pt idx="5">
                  <c:v>1578.8999999999999</c:v>
                </c:pt>
                <c:pt idx="6">
                  <c:v>1837.6600000000003</c:v>
                </c:pt>
                <c:pt idx="7">
                  <c:v>1559.06</c:v>
                </c:pt>
                <c:pt idx="8">
                  <c:v>819.14</c:v>
                </c:pt>
                <c:pt idx="9">
                  <c:v>1981.3799999999999</c:v>
                </c:pt>
              </c:numCache>
            </c:numRef>
          </c:val>
        </c:ser>
        <c:ser>
          <c:idx val="3"/>
          <c:order val="3"/>
          <c:tx>
            <c:strRef>
              <c:f>'Pivot Tables'!$E$18:$E$19</c:f>
              <c:strCache>
                <c:ptCount val="1"/>
                <c:pt idx="0">
                  <c:v>Rep D</c:v>
                </c:pt>
              </c:strCache>
            </c:strRef>
          </c:tx>
          <c:spPr>
            <a:solidFill>
              <a:schemeClr val="accent4"/>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Tables'!$E$20:$E$30</c:f>
              <c:numCache>
                <c:formatCode>General</c:formatCode>
                <c:ptCount val="10"/>
                <c:pt idx="0">
                  <c:v>147.65</c:v>
                </c:pt>
                <c:pt idx="1">
                  <c:v>1233.54</c:v>
                </c:pt>
                <c:pt idx="2">
                  <c:v>3556.03</c:v>
                </c:pt>
                <c:pt idx="3">
                  <c:v>2377.5300000000002</c:v>
                </c:pt>
                <c:pt idx="4">
                  <c:v>704.14</c:v>
                </c:pt>
                <c:pt idx="5">
                  <c:v>1965.0099999999998</c:v>
                </c:pt>
                <c:pt idx="6">
                  <c:v>1233.8299999999997</c:v>
                </c:pt>
                <c:pt idx="7">
                  <c:v>2741.24</c:v>
                </c:pt>
                <c:pt idx="8">
                  <c:v>2979.3</c:v>
                </c:pt>
                <c:pt idx="9">
                  <c:v>3100.8999999999996</c:v>
                </c:pt>
              </c:numCache>
            </c:numRef>
          </c:val>
        </c:ser>
        <c:ser>
          <c:idx val="4"/>
          <c:order val="4"/>
          <c:tx>
            <c:strRef>
              <c:f>'Pivot Tables'!$F$18:$F$19</c:f>
              <c:strCache>
                <c:ptCount val="1"/>
                <c:pt idx="0">
                  <c:v>Rep E</c:v>
                </c:pt>
              </c:strCache>
            </c:strRef>
          </c:tx>
          <c:spPr>
            <a:solidFill>
              <a:schemeClr val="accent5"/>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Tables'!$F$20:$F$30</c:f>
              <c:numCache>
                <c:formatCode>General</c:formatCode>
                <c:ptCount val="10"/>
                <c:pt idx="0">
                  <c:v>2178.9300000000003</c:v>
                </c:pt>
                <c:pt idx="1">
                  <c:v>1258.68</c:v>
                </c:pt>
                <c:pt idx="2">
                  <c:v>2658.44</c:v>
                </c:pt>
                <c:pt idx="3">
                  <c:v>2500.9299999999998</c:v>
                </c:pt>
                <c:pt idx="4">
                  <c:v>2615.9</c:v>
                </c:pt>
                <c:pt idx="5">
                  <c:v>1021.99</c:v>
                </c:pt>
                <c:pt idx="6">
                  <c:v>3444.7200000000003</c:v>
                </c:pt>
                <c:pt idx="7">
                  <c:v>2589.65</c:v>
                </c:pt>
                <c:pt idx="9">
                  <c:v>1659.48</c:v>
                </c:pt>
              </c:numCache>
            </c:numRef>
          </c:val>
        </c:ser>
        <c:ser>
          <c:idx val="5"/>
          <c:order val="5"/>
          <c:tx>
            <c:strRef>
              <c:f>'Pivot Tables'!$G$18:$G$19</c:f>
              <c:strCache>
                <c:ptCount val="1"/>
                <c:pt idx="0">
                  <c:v>Rep F</c:v>
                </c:pt>
              </c:strCache>
            </c:strRef>
          </c:tx>
          <c:spPr>
            <a:solidFill>
              <a:schemeClr val="accent6"/>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Tables'!$G$20:$G$30</c:f>
              <c:numCache>
                <c:formatCode>General</c:formatCode>
                <c:ptCount val="10"/>
                <c:pt idx="0">
                  <c:v>676.80000000000007</c:v>
                </c:pt>
                <c:pt idx="1">
                  <c:v>3155.23</c:v>
                </c:pt>
                <c:pt idx="2">
                  <c:v>2284.23</c:v>
                </c:pt>
                <c:pt idx="3">
                  <c:v>917.85</c:v>
                </c:pt>
                <c:pt idx="4">
                  <c:v>2042.5299999999997</c:v>
                </c:pt>
                <c:pt idx="5">
                  <c:v>1672.73</c:v>
                </c:pt>
                <c:pt idx="6">
                  <c:v>2685.3199999999997</c:v>
                </c:pt>
                <c:pt idx="7">
                  <c:v>4747.2999999999993</c:v>
                </c:pt>
                <c:pt idx="8">
                  <c:v>3221.1699999999996</c:v>
                </c:pt>
                <c:pt idx="9">
                  <c:v>1769.11</c:v>
                </c:pt>
              </c:numCache>
            </c:numRef>
          </c:val>
        </c:ser>
        <c:ser>
          <c:idx val="6"/>
          <c:order val="6"/>
          <c:tx>
            <c:strRef>
              <c:f>'Pivot Tables'!$H$18:$H$19</c:f>
              <c:strCache>
                <c:ptCount val="1"/>
                <c:pt idx="0">
                  <c:v>Rep G</c:v>
                </c:pt>
              </c:strCache>
            </c:strRef>
          </c:tx>
          <c:spPr>
            <a:solidFill>
              <a:schemeClr val="accent1">
                <a:lumMod val="60000"/>
              </a:schemeClr>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Tables'!$H$20:$H$30</c:f>
              <c:numCache>
                <c:formatCode>General</c:formatCode>
                <c:ptCount val="10"/>
                <c:pt idx="0">
                  <c:v>1281.3499999999999</c:v>
                </c:pt>
                <c:pt idx="1">
                  <c:v>123.48999999999998</c:v>
                </c:pt>
                <c:pt idx="2">
                  <c:v>3265.84</c:v>
                </c:pt>
                <c:pt idx="3">
                  <c:v>1816.8400000000001</c:v>
                </c:pt>
                <c:pt idx="4">
                  <c:v>1711.48</c:v>
                </c:pt>
                <c:pt idx="5">
                  <c:v>4300.57</c:v>
                </c:pt>
                <c:pt idx="6">
                  <c:v>3689</c:v>
                </c:pt>
                <c:pt idx="7">
                  <c:v>1833.8000000000002</c:v>
                </c:pt>
                <c:pt idx="8">
                  <c:v>1089.77</c:v>
                </c:pt>
                <c:pt idx="9">
                  <c:v>1752.3899999999999</c:v>
                </c:pt>
              </c:numCache>
            </c:numRef>
          </c:val>
        </c:ser>
        <c:ser>
          <c:idx val="7"/>
          <c:order val="7"/>
          <c:tx>
            <c:strRef>
              <c:f>'Pivot Tables'!$I$18:$I$19</c:f>
              <c:strCache>
                <c:ptCount val="1"/>
                <c:pt idx="0">
                  <c:v>Rep H</c:v>
                </c:pt>
              </c:strCache>
            </c:strRef>
          </c:tx>
          <c:spPr>
            <a:solidFill>
              <a:schemeClr val="accent2">
                <a:lumMod val="60000"/>
              </a:schemeClr>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Tables'!$I$20:$I$30</c:f>
              <c:numCache>
                <c:formatCode>General</c:formatCode>
                <c:ptCount val="10"/>
                <c:pt idx="0">
                  <c:v>1127.21</c:v>
                </c:pt>
                <c:pt idx="1">
                  <c:v>188.63</c:v>
                </c:pt>
                <c:pt idx="2">
                  <c:v>1643.99</c:v>
                </c:pt>
                <c:pt idx="3">
                  <c:v>1730.91</c:v>
                </c:pt>
                <c:pt idx="4">
                  <c:v>2256.58</c:v>
                </c:pt>
                <c:pt idx="5">
                  <c:v>1753.3500000000001</c:v>
                </c:pt>
                <c:pt idx="6">
                  <c:v>2417.48</c:v>
                </c:pt>
                <c:pt idx="7">
                  <c:v>1512.62</c:v>
                </c:pt>
                <c:pt idx="8">
                  <c:v>961.62</c:v>
                </c:pt>
                <c:pt idx="9">
                  <c:v>3034.86</c:v>
                </c:pt>
              </c:numCache>
            </c:numRef>
          </c:val>
        </c:ser>
        <c:ser>
          <c:idx val="8"/>
          <c:order val="8"/>
          <c:tx>
            <c:strRef>
              <c:f>'Pivot Tables'!$J$18:$J$19</c:f>
              <c:strCache>
                <c:ptCount val="1"/>
                <c:pt idx="0">
                  <c:v>Rep I</c:v>
                </c:pt>
              </c:strCache>
            </c:strRef>
          </c:tx>
          <c:spPr>
            <a:solidFill>
              <a:schemeClr val="accent3">
                <a:lumMod val="60000"/>
              </a:schemeClr>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Tables'!$J$20:$J$30</c:f>
              <c:numCache>
                <c:formatCode>General</c:formatCode>
                <c:ptCount val="10"/>
                <c:pt idx="0">
                  <c:v>2016.8600000000001</c:v>
                </c:pt>
                <c:pt idx="1">
                  <c:v>1207.5</c:v>
                </c:pt>
                <c:pt idx="2">
                  <c:v>1777.62</c:v>
                </c:pt>
                <c:pt idx="3">
                  <c:v>1629.76</c:v>
                </c:pt>
                <c:pt idx="4">
                  <c:v>2103.8000000000002</c:v>
                </c:pt>
                <c:pt idx="5">
                  <c:v>595.84</c:v>
                </c:pt>
                <c:pt idx="6">
                  <c:v>973.69</c:v>
                </c:pt>
                <c:pt idx="7">
                  <c:v>2585.9299999999998</c:v>
                </c:pt>
                <c:pt idx="8">
                  <c:v>1660.57</c:v>
                </c:pt>
                <c:pt idx="9">
                  <c:v>1098.54</c:v>
                </c:pt>
              </c:numCache>
            </c:numRef>
          </c:val>
        </c:ser>
        <c:ser>
          <c:idx val="9"/>
          <c:order val="9"/>
          <c:tx>
            <c:strRef>
              <c:f>'Pivot Tables'!$K$18:$K$19</c:f>
              <c:strCache>
                <c:ptCount val="1"/>
                <c:pt idx="0">
                  <c:v>Rep J</c:v>
                </c:pt>
              </c:strCache>
            </c:strRef>
          </c:tx>
          <c:spPr>
            <a:solidFill>
              <a:schemeClr val="accent4">
                <a:lumMod val="60000"/>
              </a:schemeClr>
            </a:solidFill>
            <a:ln>
              <a:noFill/>
            </a:ln>
            <a:effectLst/>
          </c:spPr>
          <c:invertIfNegative val="0"/>
          <c:cat>
            <c:strRef>
              <c:f>'Pivot Tables'!$A$20:$A$30</c:f>
              <c:strCache>
                <c:ptCount val="10"/>
                <c:pt idx="0">
                  <c:v>Store A</c:v>
                </c:pt>
                <c:pt idx="1">
                  <c:v>Store B</c:v>
                </c:pt>
                <c:pt idx="2">
                  <c:v>Store C</c:v>
                </c:pt>
                <c:pt idx="3">
                  <c:v>Store D</c:v>
                </c:pt>
                <c:pt idx="4">
                  <c:v>Store E</c:v>
                </c:pt>
                <c:pt idx="5">
                  <c:v>Store F</c:v>
                </c:pt>
                <c:pt idx="6">
                  <c:v>Store G</c:v>
                </c:pt>
                <c:pt idx="7">
                  <c:v>Store H</c:v>
                </c:pt>
                <c:pt idx="8">
                  <c:v>Store I</c:v>
                </c:pt>
                <c:pt idx="9">
                  <c:v>Store J</c:v>
                </c:pt>
              </c:strCache>
            </c:strRef>
          </c:cat>
          <c:val>
            <c:numRef>
              <c:f>'Pivot Tables'!$K$20:$K$30</c:f>
              <c:numCache>
                <c:formatCode>General</c:formatCode>
                <c:ptCount val="10"/>
                <c:pt idx="0">
                  <c:v>1695.16</c:v>
                </c:pt>
                <c:pt idx="1">
                  <c:v>1566.72</c:v>
                </c:pt>
                <c:pt idx="2">
                  <c:v>1278.28</c:v>
                </c:pt>
                <c:pt idx="3">
                  <c:v>688.25</c:v>
                </c:pt>
                <c:pt idx="4">
                  <c:v>2495.7700000000004</c:v>
                </c:pt>
                <c:pt idx="5">
                  <c:v>1658.31</c:v>
                </c:pt>
                <c:pt idx="6">
                  <c:v>1124.43</c:v>
                </c:pt>
                <c:pt idx="7">
                  <c:v>1148.1600000000001</c:v>
                </c:pt>
                <c:pt idx="8">
                  <c:v>961.15</c:v>
                </c:pt>
                <c:pt idx="9">
                  <c:v>1579.68</c:v>
                </c:pt>
              </c:numCache>
            </c:numRef>
          </c:val>
        </c:ser>
        <c:dLbls>
          <c:showLegendKey val="0"/>
          <c:showVal val="0"/>
          <c:showCatName val="0"/>
          <c:showSerName val="0"/>
          <c:showPercent val="0"/>
          <c:showBubbleSize val="0"/>
        </c:dLbls>
        <c:gapWidth val="50"/>
        <c:overlap val="100"/>
        <c:axId val="2087543952"/>
        <c:axId val="2087540144"/>
      </c:barChart>
      <c:catAx>
        <c:axId val="208754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40144"/>
        <c:crosses val="autoZero"/>
        <c:auto val="1"/>
        <c:lblAlgn val="ctr"/>
        <c:lblOffset val="100"/>
        <c:noMultiLvlLbl val="0"/>
      </c:catAx>
      <c:valAx>
        <c:axId val="208754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439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95250</xdr:colOff>
      <xdr:row>1</xdr:row>
      <xdr:rowOff>52387</xdr:rowOff>
    </xdr:from>
    <xdr:to>
      <xdr:col>17</xdr:col>
      <xdr:colOff>266700</xdr:colOff>
      <xdr:row>15</xdr:row>
      <xdr:rowOff>128587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6</xdr:row>
      <xdr:rowOff>190499</xdr:rowOff>
    </xdr:from>
    <xdr:to>
      <xdr:col>6</xdr:col>
      <xdr:colOff>95250</xdr:colOff>
      <xdr:row>17</xdr:row>
      <xdr:rowOff>123824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200024</xdr:colOff>
      <xdr:row>6</xdr:row>
      <xdr:rowOff>171450</xdr:rowOff>
    </xdr:from>
    <xdr:to>
      <xdr:col>12</xdr:col>
      <xdr:colOff>476249</xdr:colOff>
      <xdr:row>17</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6</xdr:row>
      <xdr:rowOff>161925</xdr:rowOff>
    </xdr:from>
    <xdr:to>
      <xdr:col>20</xdr:col>
      <xdr:colOff>219075</xdr:colOff>
      <xdr:row>17</xdr:row>
      <xdr:rowOff>152401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142875</xdr:rowOff>
    </xdr:from>
    <xdr:to>
      <xdr:col>7</xdr:col>
      <xdr:colOff>304800</xdr:colOff>
      <xdr:row>34</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104774</xdr:colOff>
      <xdr:row>0</xdr:row>
      <xdr:rowOff>28576</xdr:rowOff>
    </xdr:from>
    <xdr:to>
      <xdr:col>4</xdr:col>
      <xdr:colOff>552449</xdr:colOff>
      <xdr:row>6</xdr:row>
      <xdr:rowOff>57150</xdr:rowOff>
    </xdr:to>
    <mc:AlternateContent xmlns:mc="http://schemas.openxmlformats.org/markup-compatibility/2006" xmlns:a14="http://schemas.microsoft.com/office/drawing/2010/main">
      <mc:Choice Requires="a14">
        <xdr:graphicFrame macro="">
          <xdr:nvGraphicFramePr>
            <xdr:cNvPr id="8" name="Store"/>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04774" y="28576"/>
              <a:ext cx="2886075" cy="117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552450</xdr:colOff>
      <xdr:row>0</xdr:row>
      <xdr:rowOff>57149</xdr:rowOff>
    </xdr:from>
    <xdr:to>
      <xdr:col>10</xdr:col>
      <xdr:colOff>133350</xdr:colOff>
      <xdr:row>6</xdr:row>
      <xdr:rowOff>0</xdr:rowOff>
    </xdr:to>
    <mc:AlternateContent xmlns:mc="http://schemas.openxmlformats.org/markup-compatibility/2006" xmlns:a14="http://schemas.microsoft.com/office/drawing/2010/main">
      <mc:Choice Requires="a14">
        <xdr:graphicFrame macro="">
          <xdr:nvGraphicFramePr>
            <xdr:cNvPr id="9"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600450" y="57149"/>
              <a:ext cx="2628900" cy="108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523874</xdr:colOff>
      <xdr:row>0</xdr:row>
      <xdr:rowOff>66675</xdr:rowOff>
    </xdr:from>
    <xdr:to>
      <xdr:col>16</xdr:col>
      <xdr:colOff>419100</xdr:colOff>
      <xdr:row>6</xdr:row>
      <xdr:rowOff>47625</xdr:rowOff>
    </xdr:to>
    <mc:AlternateContent xmlns:mc="http://schemas.openxmlformats.org/markup-compatibility/2006" xmlns:a14="http://schemas.microsoft.com/office/drawing/2010/main">
      <mc:Choice Requires="a14">
        <xdr:graphicFrame macro="">
          <xdr:nvGraphicFramePr>
            <xdr:cNvPr id="1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619874" y="66675"/>
              <a:ext cx="3552826"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0</xdr:row>
      <xdr:rowOff>66675</xdr:rowOff>
    </xdr:from>
    <xdr:to>
      <xdr:col>20</xdr:col>
      <xdr:colOff>276225</xdr:colOff>
      <xdr:row>6</xdr:row>
      <xdr:rowOff>57150</xdr:rowOff>
    </xdr:to>
    <mc:AlternateContent xmlns:mc="http://schemas.openxmlformats.org/markup-compatibility/2006" xmlns:a14="http://schemas.microsoft.com/office/drawing/2010/main">
      <mc:Choice Requires="a14">
        <xdr:graphicFrame macro="">
          <xdr:nvGraphicFramePr>
            <xdr:cNvPr id="11"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401300" y="66675"/>
              <a:ext cx="2066925"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kit" refreshedDate="46160.32186851852" createdVersion="5" refreshedVersion="5" minRefreshableVersion="3" recordCount="468">
  <cacheSource type="worksheet">
    <worksheetSource ref="A1:G469" sheet="Sheet"/>
  </cacheSource>
  <cacheFields count="7">
    <cacheField name="Date" numFmtId="14">
      <sharedItems containsSemiMixedTypes="0" containsNonDate="0" containsDate="1" containsString="0" minDate="2024-01-01T00:00:00" maxDate="2025-01-01T00:00:00" count="257">
        <d v="2024-09-05T00:00:00"/>
        <d v="2024-05-08T00:00:00"/>
        <d v="2024-12-11T00:00:00"/>
        <d v="2024-05-06T00:00:00"/>
        <d v="2024-01-02T00:00:00"/>
        <d v="2024-05-13T00:00:00"/>
        <d v="2024-01-29T00:00:00"/>
        <d v="2024-07-12T00:00:00"/>
        <d v="2024-07-08T00:00:00"/>
        <d v="2024-01-28T00:00:00"/>
        <d v="2024-01-23T00:00:00"/>
        <d v="2024-09-19T00:00:00"/>
        <d v="2024-07-14T00:00:00"/>
        <d v="2024-08-28T00:00:00"/>
        <d v="2024-07-06T00:00:00"/>
        <d v="2024-05-15T00:00:00"/>
        <d v="2024-07-22T00:00:00"/>
        <d v="2024-10-17T00:00:00"/>
        <d v="2024-11-21T00:00:00"/>
        <d v="2024-11-07T00:00:00"/>
        <d v="2024-06-06T00:00:00"/>
        <d v="2024-07-29T00:00:00"/>
        <d v="2024-11-14T00:00:00"/>
        <d v="2024-03-03T00:00:00"/>
        <d v="2024-06-08T00:00:00"/>
        <d v="2024-07-16T00:00:00"/>
        <d v="2024-11-17T00:00:00"/>
        <d v="2024-01-10T00:00:00"/>
        <d v="2024-10-13T00:00:00"/>
        <d v="2024-08-13T00:00:00"/>
        <d v="2024-03-04T00:00:00"/>
        <d v="2024-04-18T00:00:00"/>
        <d v="2024-11-15T00:00:00"/>
        <d v="2024-01-31T00:00:00"/>
        <d v="2024-07-26T00:00:00"/>
        <d v="2024-04-23T00:00:00"/>
        <d v="2024-09-28T00:00:00"/>
        <d v="2024-07-10T00:00:00"/>
        <d v="2024-02-02T00:00:00"/>
        <d v="2024-05-10T00:00:00"/>
        <d v="2024-05-14T00:00:00"/>
        <d v="2024-09-07T00:00:00"/>
        <d v="2024-04-09T00:00:00"/>
        <d v="2024-12-18T00:00:00"/>
        <d v="2024-04-11T00:00:00"/>
        <d v="2024-11-09T00:00:00"/>
        <d v="2024-03-20T00:00:00"/>
        <d v="2024-12-07T00:00:00"/>
        <d v="2024-09-11T00:00:00"/>
        <d v="2024-01-17T00:00:00"/>
        <d v="2024-04-07T00:00:00"/>
        <d v="2024-05-27T00:00:00"/>
        <d v="2024-10-12T00:00:00"/>
        <d v="2024-06-20T00:00:00"/>
        <d v="2024-09-30T00:00:00"/>
        <d v="2024-02-25T00:00:00"/>
        <d v="2024-03-07T00:00:00"/>
        <d v="2024-10-18T00:00:00"/>
        <d v="2024-06-22T00:00:00"/>
        <d v="2024-03-11T00:00:00"/>
        <d v="2024-12-05T00:00:00"/>
        <d v="2024-05-18T00:00:00"/>
        <d v="2024-12-12T00:00:00"/>
        <d v="2024-04-17T00:00:00"/>
        <d v="2024-09-21T00:00:00"/>
        <d v="2024-08-10T00:00:00"/>
        <d v="2024-06-30T00:00:00"/>
        <d v="2024-12-19T00:00:00"/>
        <d v="2024-04-16T00:00:00"/>
        <d v="2024-06-17T00:00:00"/>
        <d v="2024-10-27T00:00:00"/>
        <d v="2024-04-01T00:00:00"/>
        <d v="2024-03-22T00:00:00"/>
        <d v="2024-05-17T00:00:00"/>
        <d v="2024-01-03T00:00:00"/>
        <d v="2024-07-27T00:00:00"/>
        <d v="2024-04-29T00:00:00"/>
        <d v="2024-04-30T00:00:00"/>
        <d v="2024-01-12T00:00:00"/>
        <d v="2024-12-16T00:00:00"/>
        <d v="2024-02-14T00:00:00"/>
        <d v="2024-05-07T00:00:00"/>
        <d v="2024-01-18T00:00:00"/>
        <d v="2024-09-24T00:00:00"/>
        <d v="2024-04-12T00:00:00"/>
        <d v="2024-03-30T00:00:00"/>
        <d v="2024-11-04T00:00:00"/>
        <d v="2024-05-24T00:00:00"/>
        <d v="2024-06-29T00:00:00"/>
        <d v="2024-02-23T00:00:00"/>
        <d v="2024-03-13T00:00:00"/>
        <d v="2024-03-02T00:00:00"/>
        <d v="2024-04-06T00:00:00"/>
        <d v="2024-03-08T00:00:00"/>
        <d v="2024-01-13T00:00:00"/>
        <d v="2024-01-19T00:00:00"/>
        <d v="2024-02-08T00:00:00"/>
        <d v="2024-04-27T00:00:00"/>
        <d v="2024-05-28T00:00:00"/>
        <d v="2024-02-04T00:00:00"/>
        <d v="2024-06-21T00:00:00"/>
        <d v="2024-12-25T00:00:00"/>
        <d v="2024-10-20T00:00:00"/>
        <d v="2024-05-19T00:00:00"/>
        <d v="2024-01-24T00:00:00"/>
        <d v="2024-04-03T00:00:00"/>
        <d v="2024-11-12T00:00:00"/>
        <d v="2024-10-26T00:00:00"/>
        <d v="2024-01-01T00:00:00"/>
        <d v="2024-12-13T00:00:00"/>
        <d v="2024-09-18T00:00:00"/>
        <d v="2024-01-11T00:00:00"/>
        <d v="2024-06-01T00:00:00"/>
        <d v="2024-10-08T00:00:00"/>
        <d v="2024-08-16T00:00:00"/>
        <d v="2024-06-16T00:00:00"/>
        <d v="2024-09-04T00:00:00"/>
        <d v="2024-12-17T00:00:00"/>
        <d v="2024-07-30T00:00:00"/>
        <d v="2024-02-29T00:00:00"/>
        <d v="2024-06-03T00:00:00"/>
        <d v="2024-11-27T00:00:00"/>
        <d v="2024-09-10T00:00:00"/>
        <d v="2024-06-09T00:00:00"/>
        <d v="2024-04-21T00:00:00"/>
        <d v="2024-02-22T00:00:00"/>
        <d v="2024-05-03T00:00:00"/>
        <d v="2024-01-27T00:00:00"/>
        <d v="2024-07-04T00:00:00"/>
        <d v="2024-10-31T00:00:00"/>
        <d v="2024-09-15T00:00:00"/>
        <d v="2024-07-20T00:00:00"/>
        <d v="2024-03-25T00:00:00"/>
        <d v="2024-02-12T00:00:00"/>
        <d v="2024-04-20T00:00:00"/>
        <d v="2024-02-16T00:00:00"/>
        <d v="2024-11-29T00:00:00"/>
        <d v="2024-08-20T00:00:00"/>
        <d v="2024-11-25T00:00:00"/>
        <d v="2024-09-16T00:00:00"/>
        <d v="2024-02-15T00:00:00"/>
        <d v="2024-09-09T00:00:00"/>
        <d v="2024-06-12T00:00:00"/>
        <d v="2024-12-30T00:00:00"/>
        <d v="2024-03-12T00:00:00"/>
        <d v="2024-08-29T00:00:00"/>
        <d v="2024-03-27T00:00:00"/>
        <d v="2024-03-29T00:00:00"/>
        <d v="2024-03-19T00:00:00"/>
        <d v="2024-07-19T00:00:00"/>
        <d v="2024-06-13T00:00:00"/>
        <d v="2024-12-26T00:00:00"/>
        <d v="2024-08-15T00:00:00"/>
        <d v="2024-08-21T00:00:00"/>
        <d v="2024-01-20T00:00:00"/>
        <d v="2024-10-28T00:00:00"/>
        <d v="2024-08-14T00:00:00"/>
        <d v="2024-10-21T00:00:00"/>
        <d v="2024-09-29T00:00:00"/>
        <d v="2024-07-24T00:00:00"/>
        <d v="2024-08-24T00:00:00"/>
        <d v="2024-12-23T00:00:00"/>
        <d v="2024-12-31T00:00:00"/>
        <d v="2024-07-01T00:00:00"/>
        <d v="2024-01-05T00:00:00"/>
        <d v="2024-11-19T00:00:00"/>
        <d v="2024-04-08T00:00:00"/>
        <d v="2024-10-15T00:00:00"/>
        <d v="2024-07-03T00:00:00"/>
        <d v="2024-03-09T00:00:00"/>
        <d v="2024-12-28T00:00:00"/>
        <d v="2024-08-01T00:00:00"/>
        <d v="2024-05-01T00:00:00"/>
        <d v="2024-09-02T00:00:00"/>
        <d v="2024-06-11T00:00:00"/>
        <d v="2024-11-22T00:00:00"/>
        <d v="2024-12-10T00:00:00"/>
        <d v="2024-07-07T00:00:00"/>
        <d v="2024-11-01T00:00:00"/>
        <d v="2024-03-26T00:00:00"/>
        <d v="2024-08-08T00:00:00"/>
        <d v="2024-09-12T00:00:00"/>
        <d v="2024-03-05T00:00:00"/>
        <d v="2024-01-15T00:00:00"/>
        <d v="2024-08-07T00:00:00"/>
        <d v="2024-11-16T00:00:00"/>
        <d v="2024-02-01T00:00:00"/>
        <d v="2024-05-29T00:00:00"/>
        <d v="2024-07-02T00:00:00"/>
        <d v="2024-03-17T00:00:00"/>
        <d v="2024-01-07T00:00:00"/>
        <d v="2024-03-23T00:00:00"/>
        <d v="2024-04-15T00:00:00"/>
        <d v="2024-03-15T00:00:00"/>
        <d v="2024-01-14T00:00:00"/>
        <d v="2024-12-15T00:00:00"/>
        <d v="2024-10-06T00:00:00"/>
        <d v="2024-11-03T00:00:00"/>
        <d v="2024-02-28T00:00:00"/>
        <d v="2024-05-16T00:00:00"/>
        <d v="2024-12-02T00:00:00"/>
        <d v="2024-07-28T00:00:00"/>
        <d v="2024-11-10T00:00:00"/>
        <d v="2024-04-10T00:00:00"/>
        <d v="2024-03-21T00:00:00"/>
        <d v="2024-01-06T00:00:00"/>
        <d v="2024-02-27T00:00:00"/>
        <d v="2024-01-09T00:00:00"/>
        <d v="2024-05-09T00:00:00"/>
        <d v="2024-07-17T00:00:00"/>
        <d v="2024-06-27T00:00:00"/>
        <d v="2024-12-04T00:00:00"/>
        <d v="2024-04-26T00:00:00"/>
        <d v="2024-02-26T00:00:00"/>
        <d v="2024-06-04T00:00:00"/>
        <d v="2024-10-02T00:00:00"/>
        <d v="2024-02-17T00:00:00"/>
        <d v="2024-10-29T00:00:00"/>
        <d v="2024-09-01T00:00:00"/>
        <d v="2024-07-21T00:00:00"/>
        <d v="2024-03-31T00:00:00"/>
        <d v="2024-08-12T00:00:00"/>
        <d v="2024-10-10T00:00:00"/>
        <d v="2024-06-14T00:00:00"/>
        <d v="2024-10-23T00:00:00"/>
        <d v="2024-10-30T00:00:00"/>
        <d v="2024-11-26T00:00:00"/>
        <d v="2024-03-16T00:00:00"/>
        <d v="2024-02-06T00:00:00"/>
        <d v="2024-08-30T00:00:00"/>
        <d v="2024-01-21T00:00:00"/>
        <d v="2024-04-05T00:00:00"/>
        <d v="2024-08-18T00:00:00"/>
        <d v="2024-07-31T00:00:00"/>
        <d v="2024-05-20T00:00:00"/>
        <d v="2024-05-23T00:00:00"/>
        <d v="2024-09-27T00:00:00"/>
        <d v="2024-06-15T00:00:00"/>
        <d v="2024-07-25T00:00:00"/>
        <d v="2024-10-11T00:00:00"/>
        <d v="2024-04-14T00:00:00"/>
        <d v="2024-10-16T00:00:00"/>
        <d v="2024-04-19T00:00:00"/>
        <d v="2024-05-04T00:00:00"/>
        <d v="2024-12-03T00:00:00"/>
        <d v="2024-03-06T00:00:00"/>
        <d v="2024-10-22T00:00:00"/>
        <d v="2024-11-28T00:00:00"/>
        <d v="2024-12-06T00:00:00"/>
        <d v="2024-01-25T00:00:00"/>
        <d v="2024-06-26T00:00:00"/>
        <d v="2024-08-27T00:00:00"/>
        <d v="2024-07-18T00:00:00"/>
        <d v="2024-02-13T00:00:00"/>
        <d v="2024-06-24T00:00:00"/>
        <d v="2024-08-31T00:00:00"/>
        <d v="2024-11-06T00:00:00"/>
      </sharedItems>
      <fieldGroup base="0">
        <rangePr groupBy="months" startDate="2024-01-01T00:00:00" endDate="2025-01-01T00:00:00"/>
        <groupItems count="14">
          <s v="&lt;1/1/2024"/>
          <s v="Jan"/>
          <s v="Feb"/>
          <s v="Mar"/>
          <s v="Apr"/>
          <s v="May"/>
          <s v="Jun"/>
          <s v="Jul"/>
          <s v="Aug"/>
          <s v="Sep"/>
          <s v="Oct"/>
          <s v="Nov"/>
          <s v="Dec"/>
          <s v="&gt;1/1/2025"/>
        </groupItems>
      </fieldGroup>
    </cacheField>
    <cacheField name="Store" numFmtId="0">
      <sharedItems count="10">
        <s v="Store D"/>
        <s v="Store H"/>
        <s v="Store I"/>
        <s v="Store B"/>
        <s v="Store J"/>
        <s v="Store C"/>
        <s v="Store G"/>
        <s v="Store E"/>
        <s v="Store F"/>
        <s v="Store A"/>
      </sharedItems>
    </cacheField>
    <cacheField name="SalesPerson" numFmtId="0">
      <sharedItems count="10">
        <s v="Rep B"/>
        <s v="Rep A"/>
        <s v="Rep F"/>
        <s v="Rep G"/>
        <s v="Rep C"/>
        <s v="Rep J"/>
        <s v="Rep D"/>
        <s v="Rep I"/>
        <s v="Rep E"/>
        <s v="Rep H"/>
      </sharedItems>
    </cacheField>
    <cacheField name="Product" numFmtId="0">
      <sharedItems count="10">
        <s v="Product I"/>
        <s v="Product H"/>
        <s v="Product F"/>
        <s v="Product D"/>
        <s v="Product B"/>
        <s v="Product C"/>
        <s v="Product A"/>
        <s v="Product G"/>
        <s v="Product E"/>
        <s v="Product J"/>
      </sharedItems>
    </cacheField>
    <cacheField name="Quantity" numFmtId="0">
      <sharedItems containsSemiMixedTypes="0" containsString="0" containsNumber="1" containsInteger="1" minValue="1" maxValue="50"/>
    </cacheField>
    <cacheField name="Price" numFmtId="164">
      <sharedItems containsSemiMixedTypes="0" containsString="0" containsNumber="1" minValue="2.09" maxValue="29.99"/>
    </cacheField>
    <cacheField name="Total Sales" numFmtId="164">
      <sharedItems containsSemiMixedTypes="0" containsString="0" containsNumber="1" minValue="4.9800000000000004" maxValue="1455.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68">
  <r>
    <x v="0"/>
    <x v="0"/>
    <x v="0"/>
    <x v="0"/>
    <n v="30"/>
    <n v="7.95"/>
    <n v="238.5"/>
  </r>
  <r>
    <x v="1"/>
    <x v="1"/>
    <x v="1"/>
    <x v="1"/>
    <n v="11"/>
    <n v="23.02"/>
    <n v="253.22"/>
  </r>
  <r>
    <x v="2"/>
    <x v="2"/>
    <x v="2"/>
    <x v="2"/>
    <n v="10"/>
    <n v="9.68"/>
    <n v="96.8"/>
  </r>
  <r>
    <x v="3"/>
    <x v="3"/>
    <x v="3"/>
    <x v="1"/>
    <n v="6"/>
    <n v="9.09"/>
    <n v="54.54"/>
  </r>
  <r>
    <x v="4"/>
    <x v="2"/>
    <x v="4"/>
    <x v="1"/>
    <n v="12"/>
    <n v="11.97"/>
    <n v="143.64000000000001"/>
  </r>
  <r>
    <x v="5"/>
    <x v="4"/>
    <x v="5"/>
    <x v="3"/>
    <n v="48"/>
    <n v="12.24"/>
    <n v="587.52"/>
  </r>
  <r>
    <x v="6"/>
    <x v="0"/>
    <x v="6"/>
    <x v="4"/>
    <n v="18"/>
    <n v="5.65"/>
    <n v="101.7"/>
  </r>
  <r>
    <x v="7"/>
    <x v="5"/>
    <x v="3"/>
    <x v="0"/>
    <n v="40"/>
    <n v="20.29"/>
    <n v="811.59999999999991"/>
  </r>
  <r>
    <x v="8"/>
    <x v="2"/>
    <x v="0"/>
    <x v="3"/>
    <n v="2"/>
    <n v="12.07"/>
    <n v="24.14"/>
  </r>
  <r>
    <x v="9"/>
    <x v="6"/>
    <x v="5"/>
    <x v="0"/>
    <n v="48"/>
    <n v="8.61"/>
    <n v="413.28"/>
  </r>
  <r>
    <x v="10"/>
    <x v="4"/>
    <x v="2"/>
    <x v="5"/>
    <n v="42"/>
    <n v="14.58"/>
    <n v="612.36"/>
  </r>
  <r>
    <x v="11"/>
    <x v="5"/>
    <x v="3"/>
    <x v="2"/>
    <n v="47"/>
    <n v="6.45"/>
    <n v="303.15000000000003"/>
  </r>
  <r>
    <x v="12"/>
    <x v="2"/>
    <x v="2"/>
    <x v="5"/>
    <n v="41"/>
    <n v="3.12"/>
    <n v="127.92"/>
  </r>
  <r>
    <x v="13"/>
    <x v="7"/>
    <x v="5"/>
    <x v="2"/>
    <n v="36"/>
    <n v="3.2"/>
    <n v="115.2"/>
  </r>
  <r>
    <x v="14"/>
    <x v="8"/>
    <x v="3"/>
    <x v="1"/>
    <n v="47"/>
    <n v="15.07"/>
    <n v="708.29"/>
  </r>
  <r>
    <x v="15"/>
    <x v="8"/>
    <x v="4"/>
    <x v="6"/>
    <n v="40"/>
    <n v="25.23"/>
    <n v="1009.2"/>
  </r>
  <r>
    <x v="16"/>
    <x v="9"/>
    <x v="5"/>
    <x v="0"/>
    <n v="29"/>
    <n v="17.14"/>
    <n v="497.06"/>
  </r>
  <r>
    <x v="17"/>
    <x v="3"/>
    <x v="7"/>
    <x v="6"/>
    <n v="46"/>
    <n v="26.25"/>
    <n v="1207.5"/>
  </r>
  <r>
    <x v="18"/>
    <x v="1"/>
    <x v="8"/>
    <x v="7"/>
    <n v="40"/>
    <n v="11.11"/>
    <n v="444.4"/>
  </r>
  <r>
    <x v="19"/>
    <x v="9"/>
    <x v="1"/>
    <x v="2"/>
    <n v="37"/>
    <n v="13.11"/>
    <n v="485.07"/>
  </r>
  <r>
    <x v="20"/>
    <x v="6"/>
    <x v="3"/>
    <x v="3"/>
    <n v="29"/>
    <n v="14.82"/>
    <n v="429.78000000000003"/>
  </r>
  <r>
    <x v="21"/>
    <x v="9"/>
    <x v="8"/>
    <x v="6"/>
    <n v="49"/>
    <n v="9.9600000000000009"/>
    <n v="488.04"/>
  </r>
  <r>
    <x v="22"/>
    <x v="0"/>
    <x v="0"/>
    <x v="1"/>
    <n v="33"/>
    <n v="27.39"/>
    <n v="903.87"/>
  </r>
  <r>
    <x v="23"/>
    <x v="1"/>
    <x v="2"/>
    <x v="7"/>
    <n v="34"/>
    <n v="15.31"/>
    <n v="520.54"/>
  </r>
  <r>
    <x v="24"/>
    <x v="8"/>
    <x v="9"/>
    <x v="0"/>
    <n v="49"/>
    <n v="24.8"/>
    <n v="1215.2"/>
  </r>
  <r>
    <x v="25"/>
    <x v="5"/>
    <x v="9"/>
    <x v="3"/>
    <n v="6"/>
    <n v="27.65"/>
    <n v="165.89999999999998"/>
  </r>
  <r>
    <x v="26"/>
    <x v="6"/>
    <x v="0"/>
    <x v="6"/>
    <n v="2"/>
    <n v="23.81"/>
    <n v="47.62"/>
  </r>
  <r>
    <x v="27"/>
    <x v="6"/>
    <x v="7"/>
    <x v="8"/>
    <n v="5"/>
    <n v="6.87"/>
    <n v="34.35"/>
  </r>
  <r>
    <x v="28"/>
    <x v="5"/>
    <x v="4"/>
    <x v="8"/>
    <n v="35"/>
    <n v="3.82"/>
    <n v="133.69999999999999"/>
  </r>
  <r>
    <x v="12"/>
    <x v="9"/>
    <x v="3"/>
    <x v="8"/>
    <n v="26"/>
    <n v="27.88"/>
    <n v="724.88"/>
  </r>
  <r>
    <x v="29"/>
    <x v="1"/>
    <x v="2"/>
    <x v="3"/>
    <n v="35"/>
    <n v="10.49"/>
    <n v="367.15000000000003"/>
  </r>
  <r>
    <x v="30"/>
    <x v="8"/>
    <x v="3"/>
    <x v="9"/>
    <n v="5"/>
    <n v="10.55"/>
    <n v="52.75"/>
  </r>
  <r>
    <x v="31"/>
    <x v="0"/>
    <x v="9"/>
    <x v="9"/>
    <n v="7"/>
    <n v="14.91"/>
    <n v="104.37"/>
  </r>
  <r>
    <x v="32"/>
    <x v="7"/>
    <x v="7"/>
    <x v="2"/>
    <n v="1"/>
    <n v="17.41"/>
    <n v="17.41"/>
  </r>
  <r>
    <x v="33"/>
    <x v="5"/>
    <x v="3"/>
    <x v="4"/>
    <n v="21"/>
    <n v="4.53"/>
    <n v="95.13000000000001"/>
  </r>
  <r>
    <x v="34"/>
    <x v="9"/>
    <x v="8"/>
    <x v="2"/>
    <n v="41"/>
    <n v="20.440000000000001"/>
    <n v="838.04000000000008"/>
  </r>
  <r>
    <x v="35"/>
    <x v="1"/>
    <x v="8"/>
    <x v="0"/>
    <n v="19"/>
    <n v="19.670000000000002"/>
    <n v="373.73"/>
  </r>
  <r>
    <x v="36"/>
    <x v="4"/>
    <x v="9"/>
    <x v="7"/>
    <n v="50"/>
    <n v="21.31"/>
    <n v="1065.5"/>
  </r>
  <r>
    <x v="37"/>
    <x v="1"/>
    <x v="8"/>
    <x v="4"/>
    <n v="39"/>
    <n v="28.06"/>
    <n v="1094.3399999999999"/>
  </r>
  <r>
    <x v="38"/>
    <x v="9"/>
    <x v="0"/>
    <x v="9"/>
    <n v="36"/>
    <n v="24.96"/>
    <n v="898.56000000000006"/>
  </r>
  <r>
    <x v="39"/>
    <x v="0"/>
    <x v="9"/>
    <x v="5"/>
    <n v="7"/>
    <n v="3.24"/>
    <n v="22.68"/>
  </r>
  <r>
    <x v="16"/>
    <x v="6"/>
    <x v="6"/>
    <x v="9"/>
    <n v="16"/>
    <n v="10.29"/>
    <n v="164.64"/>
  </r>
  <r>
    <x v="32"/>
    <x v="2"/>
    <x v="9"/>
    <x v="1"/>
    <n v="20"/>
    <n v="17.100000000000001"/>
    <n v="342"/>
  </r>
  <r>
    <x v="40"/>
    <x v="6"/>
    <x v="5"/>
    <x v="0"/>
    <n v="35"/>
    <n v="6.51"/>
    <n v="227.85"/>
  </r>
  <r>
    <x v="41"/>
    <x v="4"/>
    <x v="7"/>
    <x v="1"/>
    <n v="12"/>
    <n v="22.36"/>
    <n v="268.32"/>
  </r>
  <r>
    <x v="42"/>
    <x v="7"/>
    <x v="7"/>
    <x v="7"/>
    <n v="44"/>
    <n v="29.58"/>
    <n v="1301.52"/>
  </r>
  <r>
    <x v="16"/>
    <x v="0"/>
    <x v="6"/>
    <x v="2"/>
    <n v="38"/>
    <n v="16.55"/>
    <n v="628.9"/>
  </r>
  <r>
    <x v="43"/>
    <x v="7"/>
    <x v="5"/>
    <x v="0"/>
    <n v="5"/>
    <n v="3.8"/>
    <n v="19"/>
  </r>
  <r>
    <x v="44"/>
    <x v="3"/>
    <x v="6"/>
    <x v="7"/>
    <n v="5"/>
    <n v="24.88"/>
    <n v="124.39999999999999"/>
  </r>
  <r>
    <x v="45"/>
    <x v="9"/>
    <x v="9"/>
    <x v="4"/>
    <n v="23"/>
    <n v="10.47"/>
    <n v="240.81"/>
  </r>
  <r>
    <x v="46"/>
    <x v="3"/>
    <x v="9"/>
    <x v="8"/>
    <n v="2"/>
    <n v="12.68"/>
    <n v="25.36"/>
  </r>
  <r>
    <x v="47"/>
    <x v="7"/>
    <x v="8"/>
    <x v="2"/>
    <n v="34"/>
    <n v="12.66"/>
    <n v="430.44"/>
  </r>
  <r>
    <x v="48"/>
    <x v="8"/>
    <x v="0"/>
    <x v="2"/>
    <n v="50"/>
    <n v="26.26"/>
    <n v="1313"/>
  </r>
  <r>
    <x v="49"/>
    <x v="3"/>
    <x v="4"/>
    <x v="3"/>
    <n v="4"/>
    <n v="21.94"/>
    <n v="87.76"/>
  </r>
  <r>
    <x v="50"/>
    <x v="7"/>
    <x v="9"/>
    <x v="9"/>
    <n v="37"/>
    <n v="10.36"/>
    <n v="383.32"/>
  </r>
  <r>
    <x v="51"/>
    <x v="6"/>
    <x v="0"/>
    <x v="1"/>
    <n v="30"/>
    <n v="25.97"/>
    <n v="779.09999999999991"/>
  </r>
  <r>
    <x v="52"/>
    <x v="0"/>
    <x v="2"/>
    <x v="4"/>
    <n v="9"/>
    <n v="15.93"/>
    <n v="143.37"/>
  </r>
  <r>
    <x v="53"/>
    <x v="8"/>
    <x v="9"/>
    <x v="0"/>
    <n v="5"/>
    <n v="29.23"/>
    <n v="146.15"/>
  </r>
  <r>
    <x v="54"/>
    <x v="2"/>
    <x v="7"/>
    <x v="7"/>
    <n v="28"/>
    <n v="5.09"/>
    <n v="142.51999999999998"/>
  </r>
  <r>
    <x v="55"/>
    <x v="8"/>
    <x v="1"/>
    <x v="4"/>
    <n v="23"/>
    <n v="4.3099999999999996"/>
    <n v="99.13"/>
  </r>
  <r>
    <x v="56"/>
    <x v="4"/>
    <x v="6"/>
    <x v="1"/>
    <n v="10"/>
    <n v="21.92"/>
    <n v="219.20000000000002"/>
  </r>
  <r>
    <x v="57"/>
    <x v="2"/>
    <x v="2"/>
    <x v="9"/>
    <n v="13"/>
    <n v="5.35"/>
    <n v="69.55"/>
  </r>
  <r>
    <x v="58"/>
    <x v="7"/>
    <x v="0"/>
    <x v="8"/>
    <n v="24"/>
    <n v="14.97"/>
    <n v="359.28000000000003"/>
  </r>
  <r>
    <x v="59"/>
    <x v="2"/>
    <x v="5"/>
    <x v="7"/>
    <n v="29"/>
    <n v="22.79"/>
    <n v="660.91"/>
  </r>
  <r>
    <x v="60"/>
    <x v="4"/>
    <x v="1"/>
    <x v="6"/>
    <n v="37"/>
    <n v="23.77"/>
    <n v="879.49"/>
  </r>
  <r>
    <x v="61"/>
    <x v="9"/>
    <x v="6"/>
    <x v="0"/>
    <n v="5"/>
    <n v="17.670000000000002"/>
    <n v="88.350000000000009"/>
  </r>
  <r>
    <x v="62"/>
    <x v="3"/>
    <x v="6"/>
    <x v="3"/>
    <n v="15"/>
    <n v="27.25"/>
    <n v="408.75"/>
  </r>
  <r>
    <x v="63"/>
    <x v="7"/>
    <x v="1"/>
    <x v="5"/>
    <n v="24"/>
    <n v="18.45"/>
    <n v="442.79999999999995"/>
  </r>
  <r>
    <x v="59"/>
    <x v="3"/>
    <x v="1"/>
    <x v="7"/>
    <n v="18"/>
    <n v="20.7"/>
    <n v="372.59999999999997"/>
  </r>
  <r>
    <x v="64"/>
    <x v="5"/>
    <x v="6"/>
    <x v="1"/>
    <n v="45"/>
    <n v="17.84"/>
    <n v="802.8"/>
  </r>
  <r>
    <x v="65"/>
    <x v="0"/>
    <x v="8"/>
    <x v="4"/>
    <n v="22"/>
    <n v="17.600000000000001"/>
    <n v="387.20000000000005"/>
  </r>
  <r>
    <x v="22"/>
    <x v="9"/>
    <x v="4"/>
    <x v="5"/>
    <n v="42"/>
    <n v="25.09"/>
    <n v="1053.78"/>
  </r>
  <r>
    <x v="66"/>
    <x v="6"/>
    <x v="4"/>
    <x v="2"/>
    <n v="9"/>
    <n v="29.59"/>
    <n v="266.31"/>
  </r>
  <r>
    <x v="67"/>
    <x v="3"/>
    <x v="1"/>
    <x v="4"/>
    <n v="37"/>
    <n v="21.51"/>
    <n v="795.87"/>
  </r>
  <r>
    <x v="55"/>
    <x v="2"/>
    <x v="3"/>
    <x v="6"/>
    <n v="14"/>
    <n v="4.3099999999999996"/>
    <n v="60.339999999999996"/>
  </r>
  <r>
    <x v="68"/>
    <x v="7"/>
    <x v="1"/>
    <x v="6"/>
    <n v="42"/>
    <n v="29.63"/>
    <n v="1244.46"/>
  </r>
  <r>
    <x v="51"/>
    <x v="7"/>
    <x v="7"/>
    <x v="6"/>
    <n v="43"/>
    <n v="4.1900000000000004"/>
    <n v="180.17000000000002"/>
  </r>
  <r>
    <x v="17"/>
    <x v="3"/>
    <x v="5"/>
    <x v="7"/>
    <n v="27"/>
    <n v="28.43"/>
    <n v="767.61"/>
  </r>
  <r>
    <x v="69"/>
    <x v="0"/>
    <x v="2"/>
    <x v="6"/>
    <n v="6"/>
    <n v="13.75"/>
    <n v="82.5"/>
  </r>
  <r>
    <x v="70"/>
    <x v="5"/>
    <x v="4"/>
    <x v="8"/>
    <n v="9"/>
    <n v="25.74"/>
    <n v="231.66"/>
  </r>
  <r>
    <x v="41"/>
    <x v="7"/>
    <x v="5"/>
    <x v="9"/>
    <n v="11"/>
    <n v="20.309999999999999"/>
    <n v="223.41"/>
  </r>
  <r>
    <x v="71"/>
    <x v="8"/>
    <x v="0"/>
    <x v="9"/>
    <n v="29"/>
    <n v="10.68"/>
    <n v="309.71999999999997"/>
  </r>
  <r>
    <x v="5"/>
    <x v="7"/>
    <x v="2"/>
    <x v="5"/>
    <n v="23"/>
    <n v="26.22"/>
    <n v="603.05999999999995"/>
  </r>
  <r>
    <x v="9"/>
    <x v="5"/>
    <x v="1"/>
    <x v="1"/>
    <n v="1"/>
    <n v="11.75"/>
    <n v="11.75"/>
  </r>
  <r>
    <x v="33"/>
    <x v="8"/>
    <x v="4"/>
    <x v="1"/>
    <n v="10"/>
    <n v="6.56"/>
    <n v="65.599999999999994"/>
  </r>
  <r>
    <x v="72"/>
    <x v="6"/>
    <x v="3"/>
    <x v="6"/>
    <n v="47"/>
    <n v="21.77"/>
    <n v="1023.1899999999999"/>
  </r>
  <r>
    <x v="26"/>
    <x v="0"/>
    <x v="3"/>
    <x v="1"/>
    <n v="28"/>
    <n v="28.32"/>
    <n v="792.96"/>
  </r>
  <r>
    <x v="73"/>
    <x v="0"/>
    <x v="8"/>
    <x v="0"/>
    <n v="6"/>
    <n v="29.13"/>
    <n v="174.78"/>
  </r>
  <r>
    <x v="47"/>
    <x v="4"/>
    <x v="4"/>
    <x v="6"/>
    <n v="46"/>
    <n v="28.63"/>
    <n v="1316.98"/>
  </r>
  <r>
    <x v="74"/>
    <x v="4"/>
    <x v="6"/>
    <x v="8"/>
    <n v="6"/>
    <n v="7.74"/>
    <n v="46.44"/>
  </r>
  <r>
    <x v="75"/>
    <x v="0"/>
    <x v="6"/>
    <x v="2"/>
    <n v="49"/>
    <n v="25.59"/>
    <n v="1253.9100000000001"/>
  </r>
  <r>
    <x v="76"/>
    <x v="1"/>
    <x v="7"/>
    <x v="7"/>
    <n v="24"/>
    <n v="10.74"/>
    <n v="257.76"/>
  </r>
  <r>
    <x v="77"/>
    <x v="7"/>
    <x v="8"/>
    <x v="6"/>
    <n v="9"/>
    <n v="10.24"/>
    <n v="92.16"/>
  </r>
  <r>
    <x v="78"/>
    <x v="6"/>
    <x v="9"/>
    <x v="0"/>
    <n v="49"/>
    <n v="27.9"/>
    <n v="1367.1"/>
  </r>
  <r>
    <x v="79"/>
    <x v="5"/>
    <x v="8"/>
    <x v="0"/>
    <n v="41"/>
    <n v="10.56"/>
    <n v="432.96000000000004"/>
  </r>
  <r>
    <x v="80"/>
    <x v="1"/>
    <x v="2"/>
    <x v="1"/>
    <n v="49"/>
    <n v="4.5199999999999996"/>
    <n v="221.48"/>
  </r>
  <r>
    <x v="66"/>
    <x v="5"/>
    <x v="2"/>
    <x v="5"/>
    <n v="28"/>
    <n v="20.58"/>
    <n v="576.24"/>
  </r>
  <r>
    <x v="81"/>
    <x v="0"/>
    <x v="3"/>
    <x v="0"/>
    <n v="29"/>
    <n v="4.62"/>
    <n v="133.97999999999999"/>
  </r>
  <r>
    <x v="82"/>
    <x v="1"/>
    <x v="0"/>
    <x v="2"/>
    <n v="39"/>
    <n v="29.29"/>
    <n v="1142.31"/>
  </r>
  <r>
    <x v="83"/>
    <x v="8"/>
    <x v="6"/>
    <x v="7"/>
    <n v="1"/>
    <n v="12.79"/>
    <n v="12.79"/>
  </r>
  <r>
    <x v="19"/>
    <x v="7"/>
    <x v="5"/>
    <x v="4"/>
    <n v="41"/>
    <n v="27.66"/>
    <n v="1134.06"/>
  </r>
  <r>
    <x v="84"/>
    <x v="3"/>
    <x v="1"/>
    <x v="7"/>
    <n v="50"/>
    <n v="3.63"/>
    <n v="181.5"/>
  </r>
  <r>
    <x v="85"/>
    <x v="3"/>
    <x v="2"/>
    <x v="2"/>
    <n v="8"/>
    <n v="15.21"/>
    <n v="121.68"/>
  </r>
  <r>
    <x v="86"/>
    <x v="2"/>
    <x v="7"/>
    <x v="0"/>
    <n v="45"/>
    <n v="29.99"/>
    <n v="1349.55"/>
  </r>
  <r>
    <x v="87"/>
    <x v="7"/>
    <x v="9"/>
    <x v="4"/>
    <n v="31"/>
    <n v="20.46"/>
    <n v="634.26"/>
  </r>
  <r>
    <x v="88"/>
    <x v="1"/>
    <x v="7"/>
    <x v="7"/>
    <n v="10"/>
    <n v="23.1"/>
    <n v="231"/>
  </r>
  <r>
    <x v="27"/>
    <x v="8"/>
    <x v="5"/>
    <x v="6"/>
    <n v="27"/>
    <n v="10.37"/>
    <n v="279.98999999999995"/>
  </r>
  <r>
    <x v="89"/>
    <x v="5"/>
    <x v="8"/>
    <x v="7"/>
    <n v="46"/>
    <n v="19.07"/>
    <n v="877.22"/>
  </r>
  <r>
    <x v="90"/>
    <x v="7"/>
    <x v="5"/>
    <x v="4"/>
    <n v="26"/>
    <n v="19.559999999999999"/>
    <n v="508.55999999999995"/>
  </r>
  <r>
    <x v="91"/>
    <x v="2"/>
    <x v="9"/>
    <x v="6"/>
    <n v="46"/>
    <n v="13.47"/>
    <n v="619.62"/>
  </r>
  <r>
    <x v="92"/>
    <x v="7"/>
    <x v="0"/>
    <x v="6"/>
    <n v="11"/>
    <n v="25.96"/>
    <n v="285.56"/>
  </r>
  <r>
    <x v="35"/>
    <x v="5"/>
    <x v="6"/>
    <x v="9"/>
    <n v="26"/>
    <n v="3.83"/>
    <n v="99.58"/>
  </r>
  <r>
    <x v="29"/>
    <x v="0"/>
    <x v="9"/>
    <x v="7"/>
    <n v="2"/>
    <n v="9.6999999999999993"/>
    <n v="19.399999999999999"/>
  </r>
  <r>
    <x v="85"/>
    <x v="0"/>
    <x v="3"/>
    <x v="1"/>
    <n v="9"/>
    <n v="28.99"/>
    <n v="260.90999999999997"/>
  </r>
  <r>
    <x v="93"/>
    <x v="2"/>
    <x v="6"/>
    <x v="3"/>
    <n v="33"/>
    <n v="19.72"/>
    <n v="650.76"/>
  </r>
  <r>
    <x v="94"/>
    <x v="8"/>
    <x v="0"/>
    <x v="8"/>
    <n v="12"/>
    <n v="10.82"/>
    <n v="129.84"/>
  </r>
  <r>
    <x v="64"/>
    <x v="8"/>
    <x v="6"/>
    <x v="0"/>
    <n v="29"/>
    <n v="11.77"/>
    <n v="341.33"/>
  </r>
  <r>
    <x v="55"/>
    <x v="5"/>
    <x v="6"/>
    <x v="6"/>
    <n v="28"/>
    <n v="28.18"/>
    <n v="789.04"/>
  </r>
  <r>
    <x v="95"/>
    <x v="0"/>
    <x v="1"/>
    <x v="1"/>
    <n v="15"/>
    <n v="24.5"/>
    <n v="367.5"/>
  </r>
  <r>
    <x v="96"/>
    <x v="0"/>
    <x v="4"/>
    <x v="4"/>
    <n v="2"/>
    <n v="5.16"/>
    <n v="10.32"/>
  </r>
  <r>
    <x v="97"/>
    <x v="4"/>
    <x v="2"/>
    <x v="4"/>
    <n v="49"/>
    <n v="3.14"/>
    <n v="153.86000000000001"/>
  </r>
  <r>
    <x v="98"/>
    <x v="0"/>
    <x v="2"/>
    <x v="9"/>
    <n v="12"/>
    <n v="23.99"/>
    <n v="287.88"/>
  </r>
  <r>
    <x v="27"/>
    <x v="9"/>
    <x v="7"/>
    <x v="9"/>
    <n v="42"/>
    <n v="12.76"/>
    <n v="535.91999999999996"/>
  </r>
  <r>
    <x v="99"/>
    <x v="8"/>
    <x v="2"/>
    <x v="6"/>
    <n v="47"/>
    <n v="24.27"/>
    <n v="1140.69"/>
  </r>
  <r>
    <x v="100"/>
    <x v="5"/>
    <x v="7"/>
    <x v="4"/>
    <n v="50"/>
    <n v="10.54"/>
    <n v="527"/>
  </r>
  <r>
    <x v="101"/>
    <x v="7"/>
    <x v="0"/>
    <x v="0"/>
    <n v="21"/>
    <n v="5.4"/>
    <n v="113.4"/>
  </r>
  <r>
    <x v="102"/>
    <x v="1"/>
    <x v="8"/>
    <x v="8"/>
    <n v="8"/>
    <n v="29.91"/>
    <n v="239.28"/>
  </r>
  <r>
    <x v="86"/>
    <x v="5"/>
    <x v="2"/>
    <x v="4"/>
    <n v="46"/>
    <n v="4.1500000000000004"/>
    <n v="190.9"/>
  </r>
  <r>
    <x v="103"/>
    <x v="6"/>
    <x v="7"/>
    <x v="3"/>
    <n v="15"/>
    <n v="19"/>
    <n v="285"/>
  </r>
  <r>
    <x v="104"/>
    <x v="4"/>
    <x v="4"/>
    <x v="6"/>
    <n v="5"/>
    <n v="21.87"/>
    <n v="109.35000000000001"/>
  </r>
  <r>
    <x v="105"/>
    <x v="5"/>
    <x v="4"/>
    <x v="2"/>
    <n v="21"/>
    <n v="24.95"/>
    <n v="523.94999999999993"/>
  </r>
  <r>
    <x v="106"/>
    <x v="4"/>
    <x v="2"/>
    <x v="0"/>
    <n v="7"/>
    <n v="17.47"/>
    <n v="122.28999999999999"/>
  </r>
  <r>
    <x v="3"/>
    <x v="6"/>
    <x v="2"/>
    <x v="0"/>
    <n v="3"/>
    <n v="8.74"/>
    <n v="26.22"/>
  </r>
  <r>
    <x v="107"/>
    <x v="2"/>
    <x v="4"/>
    <x v="0"/>
    <n v="18"/>
    <n v="9.91"/>
    <n v="178.38"/>
  </r>
  <r>
    <x v="106"/>
    <x v="1"/>
    <x v="1"/>
    <x v="9"/>
    <n v="38"/>
    <n v="14"/>
    <n v="532"/>
  </r>
  <r>
    <x v="108"/>
    <x v="8"/>
    <x v="6"/>
    <x v="2"/>
    <n v="35"/>
    <n v="24.9"/>
    <n v="871.5"/>
  </r>
  <r>
    <x v="62"/>
    <x v="1"/>
    <x v="1"/>
    <x v="9"/>
    <n v="34"/>
    <n v="11.86"/>
    <n v="403.24"/>
  </r>
  <r>
    <x v="109"/>
    <x v="0"/>
    <x v="6"/>
    <x v="1"/>
    <n v="12"/>
    <n v="7.29"/>
    <n v="87.48"/>
  </r>
  <r>
    <x v="30"/>
    <x v="5"/>
    <x v="1"/>
    <x v="4"/>
    <n v="13"/>
    <n v="16.190000000000001"/>
    <n v="210.47000000000003"/>
  </r>
  <r>
    <x v="110"/>
    <x v="7"/>
    <x v="2"/>
    <x v="6"/>
    <n v="47"/>
    <n v="15.71"/>
    <n v="738.37"/>
  </r>
  <r>
    <x v="94"/>
    <x v="9"/>
    <x v="4"/>
    <x v="0"/>
    <n v="28"/>
    <n v="18.850000000000001"/>
    <n v="527.80000000000007"/>
  </r>
  <r>
    <x v="22"/>
    <x v="0"/>
    <x v="7"/>
    <x v="0"/>
    <n v="14"/>
    <n v="26.6"/>
    <n v="372.40000000000003"/>
  </r>
  <r>
    <x v="111"/>
    <x v="6"/>
    <x v="2"/>
    <x v="8"/>
    <n v="48"/>
    <n v="27.01"/>
    <n v="1296.48"/>
  </r>
  <r>
    <x v="112"/>
    <x v="3"/>
    <x v="5"/>
    <x v="4"/>
    <n v="13"/>
    <n v="7.35"/>
    <n v="95.55"/>
  </r>
  <r>
    <x v="2"/>
    <x v="5"/>
    <x v="8"/>
    <x v="1"/>
    <n v="50"/>
    <n v="10.33"/>
    <n v="516.5"/>
  </r>
  <r>
    <x v="101"/>
    <x v="1"/>
    <x v="2"/>
    <x v="0"/>
    <n v="48"/>
    <n v="27.58"/>
    <n v="1323.84"/>
  </r>
  <r>
    <x v="113"/>
    <x v="9"/>
    <x v="2"/>
    <x v="5"/>
    <n v="45"/>
    <n v="12.31"/>
    <n v="553.95000000000005"/>
  </r>
  <r>
    <x v="47"/>
    <x v="1"/>
    <x v="8"/>
    <x v="6"/>
    <n v="13"/>
    <n v="13.65"/>
    <n v="177.45000000000002"/>
  </r>
  <r>
    <x v="114"/>
    <x v="2"/>
    <x v="0"/>
    <x v="2"/>
    <n v="32"/>
    <n v="7.09"/>
    <n v="226.88"/>
  </r>
  <r>
    <x v="115"/>
    <x v="5"/>
    <x v="3"/>
    <x v="8"/>
    <n v="7"/>
    <n v="10.73"/>
    <n v="75.11"/>
  </r>
  <r>
    <x v="116"/>
    <x v="7"/>
    <x v="8"/>
    <x v="7"/>
    <n v="14"/>
    <n v="20.97"/>
    <n v="293.58"/>
  </r>
  <r>
    <x v="117"/>
    <x v="8"/>
    <x v="6"/>
    <x v="4"/>
    <n v="19"/>
    <n v="26.41"/>
    <n v="501.79"/>
  </r>
  <r>
    <x v="118"/>
    <x v="4"/>
    <x v="8"/>
    <x v="3"/>
    <n v="46"/>
    <n v="7.02"/>
    <n v="322.91999999999996"/>
  </r>
  <r>
    <x v="117"/>
    <x v="4"/>
    <x v="9"/>
    <x v="9"/>
    <n v="29"/>
    <n v="14.28"/>
    <n v="414.12"/>
  </r>
  <r>
    <x v="119"/>
    <x v="6"/>
    <x v="8"/>
    <x v="1"/>
    <n v="30"/>
    <n v="13.63"/>
    <n v="408.90000000000003"/>
  </r>
  <r>
    <x v="35"/>
    <x v="5"/>
    <x v="1"/>
    <x v="9"/>
    <n v="12"/>
    <n v="7.42"/>
    <n v="89.039999999999992"/>
  </r>
  <r>
    <x v="120"/>
    <x v="8"/>
    <x v="8"/>
    <x v="0"/>
    <n v="36"/>
    <n v="16.39"/>
    <n v="590.04"/>
  </r>
  <r>
    <x v="19"/>
    <x v="1"/>
    <x v="9"/>
    <x v="2"/>
    <n v="45"/>
    <n v="14.8"/>
    <n v="666"/>
  </r>
  <r>
    <x v="93"/>
    <x v="1"/>
    <x v="1"/>
    <x v="4"/>
    <n v="18"/>
    <n v="10.27"/>
    <n v="184.85999999999999"/>
  </r>
  <r>
    <x v="42"/>
    <x v="0"/>
    <x v="0"/>
    <x v="1"/>
    <n v="49"/>
    <n v="23.44"/>
    <n v="1148.5600000000002"/>
  </r>
  <r>
    <x v="121"/>
    <x v="1"/>
    <x v="0"/>
    <x v="7"/>
    <n v="40"/>
    <n v="18.329999999999998"/>
    <n v="733.19999999999993"/>
  </r>
  <r>
    <x v="122"/>
    <x v="0"/>
    <x v="5"/>
    <x v="5"/>
    <n v="26"/>
    <n v="7.27"/>
    <n v="189.01999999999998"/>
  </r>
  <r>
    <x v="123"/>
    <x v="0"/>
    <x v="8"/>
    <x v="7"/>
    <n v="14"/>
    <n v="14.07"/>
    <n v="196.98000000000002"/>
  </r>
  <r>
    <x v="75"/>
    <x v="6"/>
    <x v="3"/>
    <x v="9"/>
    <n v="49"/>
    <n v="12.64"/>
    <n v="619.36"/>
  </r>
  <r>
    <x v="124"/>
    <x v="4"/>
    <x v="7"/>
    <x v="3"/>
    <n v="20"/>
    <n v="19.38"/>
    <n v="387.59999999999997"/>
  </r>
  <r>
    <x v="116"/>
    <x v="9"/>
    <x v="1"/>
    <x v="2"/>
    <n v="41"/>
    <n v="16.34"/>
    <n v="669.93999999999994"/>
  </r>
  <r>
    <x v="45"/>
    <x v="1"/>
    <x v="9"/>
    <x v="1"/>
    <n v="18"/>
    <n v="16.41"/>
    <n v="295.38"/>
  </r>
  <r>
    <x v="125"/>
    <x v="1"/>
    <x v="2"/>
    <x v="8"/>
    <n v="50"/>
    <n v="24.38"/>
    <n v="1219"/>
  </r>
  <r>
    <x v="126"/>
    <x v="9"/>
    <x v="1"/>
    <x v="6"/>
    <n v="28"/>
    <n v="18.95"/>
    <n v="530.6"/>
  </r>
  <r>
    <x v="127"/>
    <x v="3"/>
    <x v="4"/>
    <x v="7"/>
    <n v="32"/>
    <n v="10.63"/>
    <n v="340.16"/>
  </r>
  <r>
    <x v="128"/>
    <x v="5"/>
    <x v="2"/>
    <x v="1"/>
    <n v="45"/>
    <n v="2.67"/>
    <n v="120.14999999999999"/>
  </r>
  <r>
    <x v="129"/>
    <x v="1"/>
    <x v="3"/>
    <x v="5"/>
    <n v="28"/>
    <n v="28.37"/>
    <n v="794.36"/>
  </r>
  <r>
    <x v="109"/>
    <x v="7"/>
    <x v="8"/>
    <x v="7"/>
    <n v="25"/>
    <n v="12.38"/>
    <n v="309.5"/>
  </r>
  <r>
    <x v="130"/>
    <x v="5"/>
    <x v="3"/>
    <x v="2"/>
    <n v="45"/>
    <n v="11.55"/>
    <n v="519.75"/>
  </r>
  <r>
    <x v="56"/>
    <x v="7"/>
    <x v="9"/>
    <x v="4"/>
    <n v="50"/>
    <n v="24.78"/>
    <n v="1239"/>
  </r>
  <r>
    <x v="131"/>
    <x v="1"/>
    <x v="1"/>
    <x v="0"/>
    <n v="2"/>
    <n v="22.63"/>
    <n v="45.26"/>
  </r>
  <r>
    <x v="63"/>
    <x v="2"/>
    <x v="2"/>
    <x v="1"/>
    <n v="28"/>
    <n v="9.17"/>
    <n v="256.76"/>
  </r>
  <r>
    <x v="132"/>
    <x v="8"/>
    <x v="5"/>
    <x v="5"/>
    <n v="20"/>
    <n v="2.68"/>
    <n v="53.6"/>
  </r>
  <r>
    <x v="126"/>
    <x v="4"/>
    <x v="2"/>
    <x v="3"/>
    <n v="34"/>
    <n v="25.9"/>
    <n v="880.59999999999991"/>
  </r>
  <r>
    <x v="64"/>
    <x v="1"/>
    <x v="5"/>
    <x v="2"/>
    <n v="40"/>
    <n v="28.11"/>
    <n v="1124.4000000000001"/>
  </r>
  <r>
    <x v="133"/>
    <x v="5"/>
    <x v="1"/>
    <x v="8"/>
    <n v="16"/>
    <n v="13.23"/>
    <n v="211.68"/>
  </r>
  <r>
    <x v="134"/>
    <x v="3"/>
    <x v="2"/>
    <x v="2"/>
    <n v="45"/>
    <n v="22.47"/>
    <n v="1011.15"/>
  </r>
  <r>
    <x v="135"/>
    <x v="6"/>
    <x v="2"/>
    <x v="5"/>
    <n v="50"/>
    <n v="2.61"/>
    <n v="130.5"/>
  </r>
  <r>
    <x v="133"/>
    <x v="4"/>
    <x v="9"/>
    <x v="0"/>
    <n v="12"/>
    <n v="3.78"/>
    <n v="45.36"/>
  </r>
  <r>
    <x v="136"/>
    <x v="2"/>
    <x v="2"/>
    <x v="7"/>
    <n v="49"/>
    <n v="7.1"/>
    <n v="347.9"/>
  </r>
  <r>
    <x v="37"/>
    <x v="0"/>
    <x v="3"/>
    <x v="5"/>
    <n v="28"/>
    <n v="10.56"/>
    <n v="295.68"/>
  </r>
  <r>
    <x v="137"/>
    <x v="6"/>
    <x v="9"/>
    <x v="5"/>
    <n v="15"/>
    <n v="3.35"/>
    <n v="50.25"/>
  </r>
  <r>
    <x v="138"/>
    <x v="9"/>
    <x v="9"/>
    <x v="1"/>
    <n v="43"/>
    <n v="7.82"/>
    <n v="336.26"/>
  </r>
  <r>
    <x v="125"/>
    <x v="3"/>
    <x v="4"/>
    <x v="2"/>
    <n v="13"/>
    <n v="9.59"/>
    <n v="124.67"/>
  </r>
  <r>
    <x v="139"/>
    <x v="4"/>
    <x v="4"/>
    <x v="2"/>
    <n v="27"/>
    <n v="17.12"/>
    <n v="462.24"/>
  </r>
  <r>
    <x v="140"/>
    <x v="1"/>
    <x v="7"/>
    <x v="5"/>
    <n v="32"/>
    <n v="18.29"/>
    <n v="585.28"/>
  </r>
  <r>
    <x v="141"/>
    <x v="8"/>
    <x v="5"/>
    <x v="9"/>
    <n v="39"/>
    <n v="20.38"/>
    <n v="794.81999999999994"/>
  </r>
  <r>
    <x v="93"/>
    <x v="0"/>
    <x v="1"/>
    <x v="2"/>
    <n v="39"/>
    <n v="11.53"/>
    <n v="449.66999999999996"/>
  </r>
  <r>
    <x v="142"/>
    <x v="5"/>
    <x v="2"/>
    <x v="7"/>
    <n v="29"/>
    <n v="5.19"/>
    <n v="150.51000000000002"/>
  </r>
  <r>
    <x v="96"/>
    <x v="2"/>
    <x v="2"/>
    <x v="6"/>
    <n v="36"/>
    <n v="16.72"/>
    <n v="601.91999999999996"/>
  </r>
  <r>
    <x v="108"/>
    <x v="1"/>
    <x v="1"/>
    <x v="7"/>
    <n v="1"/>
    <n v="9.3000000000000007"/>
    <n v="9.3000000000000007"/>
  </r>
  <r>
    <x v="57"/>
    <x v="6"/>
    <x v="9"/>
    <x v="3"/>
    <n v="6"/>
    <n v="13.07"/>
    <n v="78.42"/>
  </r>
  <r>
    <x v="143"/>
    <x v="9"/>
    <x v="3"/>
    <x v="2"/>
    <n v="20"/>
    <n v="19.77"/>
    <n v="395.4"/>
  </r>
  <r>
    <x v="144"/>
    <x v="8"/>
    <x v="6"/>
    <x v="8"/>
    <n v="16"/>
    <n v="14.85"/>
    <n v="237.6"/>
  </r>
  <r>
    <x v="145"/>
    <x v="4"/>
    <x v="9"/>
    <x v="5"/>
    <n v="28"/>
    <n v="15.18"/>
    <n v="425.03999999999996"/>
  </r>
  <r>
    <x v="5"/>
    <x v="8"/>
    <x v="4"/>
    <x v="2"/>
    <n v="10"/>
    <n v="3.44"/>
    <n v="34.4"/>
  </r>
  <r>
    <x v="146"/>
    <x v="3"/>
    <x v="4"/>
    <x v="9"/>
    <n v="35"/>
    <n v="29.93"/>
    <n v="1047.55"/>
  </r>
  <r>
    <x v="147"/>
    <x v="4"/>
    <x v="6"/>
    <x v="4"/>
    <n v="35"/>
    <n v="25.51"/>
    <n v="892.85"/>
  </r>
  <r>
    <x v="148"/>
    <x v="2"/>
    <x v="1"/>
    <x v="1"/>
    <n v="21"/>
    <n v="3.93"/>
    <n v="82.53"/>
  </r>
  <r>
    <x v="149"/>
    <x v="5"/>
    <x v="3"/>
    <x v="0"/>
    <n v="33"/>
    <n v="21.82"/>
    <n v="720.06000000000006"/>
  </r>
  <r>
    <x v="150"/>
    <x v="0"/>
    <x v="7"/>
    <x v="3"/>
    <n v="33"/>
    <n v="14.08"/>
    <n v="464.64"/>
  </r>
  <r>
    <x v="125"/>
    <x v="0"/>
    <x v="5"/>
    <x v="7"/>
    <n v="43"/>
    <n v="11.61"/>
    <n v="499.22999999999996"/>
  </r>
  <r>
    <x v="151"/>
    <x v="8"/>
    <x v="1"/>
    <x v="7"/>
    <n v="28"/>
    <n v="10.49"/>
    <n v="293.72000000000003"/>
  </r>
  <r>
    <x v="152"/>
    <x v="1"/>
    <x v="4"/>
    <x v="8"/>
    <n v="11"/>
    <n v="7.2"/>
    <n v="79.2"/>
  </r>
  <r>
    <x v="153"/>
    <x v="0"/>
    <x v="7"/>
    <x v="4"/>
    <n v="25"/>
    <n v="26.61"/>
    <n v="665.25"/>
  </r>
  <r>
    <x v="113"/>
    <x v="4"/>
    <x v="5"/>
    <x v="8"/>
    <n v="49"/>
    <n v="8.41"/>
    <n v="412.09000000000003"/>
  </r>
  <r>
    <x v="24"/>
    <x v="8"/>
    <x v="3"/>
    <x v="4"/>
    <n v="38"/>
    <n v="2.2400000000000002"/>
    <n v="85.12"/>
  </r>
  <r>
    <x v="83"/>
    <x v="8"/>
    <x v="0"/>
    <x v="8"/>
    <n v="29"/>
    <n v="28.81"/>
    <n v="835.49"/>
  </r>
  <r>
    <x v="19"/>
    <x v="1"/>
    <x v="4"/>
    <x v="5"/>
    <n v="36"/>
    <n v="2.12"/>
    <n v="76.320000000000007"/>
  </r>
  <r>
    <x v="154"/>
    <x v="9"/>
    <x v="7"/>
    <x v="5"/>
    <n v="26"/>
    <n v="8.07"/>
    <n v="209.82"/>
  </r>
  <r>
    <x v="155"/>
    <x v="9"/>
    <x v="0"/>
    <x v="2"/>
    <n v="3"/>
    <n v="7.25"/>
    <n v="21.75"/>
  </r>
  <r>
    <x v="88"/>
    <x v="5"/>
    <x v="5"/>
    <x v="7"/>
    <n v="10"/>
    <n v="23.89"/>
    <n v="238.9"/>
  </r>
  <r>
    <x v="156"/>
    <x v="0"/>
    <x v="3"/>
    <x v="6"/>
    <n v="1"/>
    <n v="16.39"/>
    <n v="16.39"/>
  </r>
  <r>
    <x v="157"/>
    <x v="2"/>
    <x v="5"/>
    <x v="7"/>
    <n v="14"/>
    <n v="21.09"/>
    <n v="295.26"/>
  </r>
  <r>
    <x v="158"/>
    <x v="1"/>
    <x v="0"/>
    <x v="0"/>
    <n v="9"/>
    <n v="17.68"/>
    <n v="159.12"/>
  </r>
  <r>
    <x v="159"/>
    <x v="6"/>
    <x v="1"/>
    <x v="2"/>
    <n v="14"/>
    <n v="15.47"/>
    <n v="216.58"/>
  </r>
  <r>
    <x v="160"/>
    <x v="8"/>
    <x v="4"/>
    <x v="7"/>
    <n v="41"/>
    <n v="8.14"/>
    <n v="333.74"/>
  </r>
  <r>
    <x v="161"/>
    <x v="7"/>
    <x v="8"/>
    <x v="7"/>
    <n v="16"/>
    <n v="24.08"/>
    <n v="385.28"/>
  </r>
  <r>
    <x v="162"/>
    <x v="8"/>
    <x v="2"/>
    <x v="5"/>
    <n v="47"/>
    <n v="10.74"/>
    <n v="504.78000000000003"/>
  </r>
  <r>
    <x v="156"/>
    <x v="5"/>
    <x v="1"/>
    <x v="4"/>
    <n v="4"/>
    <n v="12.01"/>
    <n v="48.04"/>
  </r>
  <r>
    <x v="130"/>
    <x v="1"/>
    <x v="8"/>
    <x v="6"/>
    <n v="15"/>
    <n v="10.27"/>
    <n v="154.04999999999998"/>
  </r>
  <r>
    <x v="3"/>
    <x v="8"/>
    <x v="7"/>
    <x v="7"/>
    <n v="48"/>
    <n v="5.45"/>
    <n v="261.60000000000002"/>
  </r>
  <r>
    <x v="163"/>
    <x v="4"/>
    <x v="8"/>
    <x v="2"/>
    <n v="8"/>
    <n v="20.399999999999999"/>
    <n v="163.19999999999999"/>
  </r>
  <r>
    <x v="113"/>
    <x v="0"/>
    <x v="8"/>
    <x v="6"/>
    <n v="40"/>
    <n v="8.5299999999999994"/>
    <n v="341.2"/>
  </r>
  <r>
    <x v="15"/>
    <x v="3"/>
    <x v="4"/>
    <x v="2"/>
    <n v="39"/>
    <n v="26.27"/>
    <n v="1024.53"/>
  </r>
  <r>
    <x v="164"/>
    <x v="3"/>
    <x v="8"/>
    <x v="3"/>
    <n v="48"/>
    <n v="8.4600000000000009"/>
    <n v="406.08000000000004"/>
  </r>
  <r>
    <x v="37"/>
    <x v="6"/>
    <x v="3"/>
    <x v="9"/>
    <n v="39"/>
    <n v="24.28"/>
    <n v="946.92000000000007"/>
  </r>
  <r>
    <x v="61"/>
    <x v="4"/>
    <x v="3"/>
    <x v="4"/>
    <n v="50"/>
    <n v="18.11"/>
    <n v="905.5"/>
  </r>
  <r>
    <x v="165"/>
    <x v="9"/>
    <x v="8"/>
    <x v="5"/>
    <n v="37"/>
    <n v="23.05"/>
    <n v="852.85"/>
  </r>
  <r>
    <x v="166"/>
    <x v="7"/>
    <x v="3"/>
    <x v="1"/>
    <n v="44"/>
    <n v="14.63"/>
    <n v="643.72"/>
  </r>
  <r>
    <x v="167"/>
    <x v="4"/>
    <x v="4"/>
    <x v="3"/>
    <n v="3"/>
    <n v="10.65"/>
    <n v="31.950000000000003"/>
  </r>
  <r>
    <x v="168"/>
    <x v="7"/>
    <x v="0"/>
    <x v="9"/>
    <n v="49"/>
    <n v="23.32"/>
    <n v="1142.68"/>
  </r>
  <r>
    <x v="169"/>
    <x v="2"/>
    <x v="0"/>
    <x v="8"/>
    <n v="38"/>
    <n v="17.89"/>
    <n v="679.82"/>
  </r>
  <r>
    <x v="63"/>
    <x v="7"/>
    <x v="0"/>
    <x v="5"/>
    <n v="20"/>
    <n v="12.9"/>
    <n v="258"/>
  </r>
  <r>
    <x v="170"/>
    <x v="9"/>
    <x v="6"/>
    <x v="2"/>
    <n v="10"/>
    <n v="5.93"/>
    <n v="59.3"/>
  </r>
  <r>
    <x v="171"/>
    <x v="9"/>
    <x v="0"/>
    <x v="1"/>
    <n v="22"/>
    <n v="29.86"/>
    <n v="656.92"/>
  </r>
  <r>
    <x v="32"/>
    <x v="4"/>
    <x v="6"/>
    <x v="0"/>
    <n v="13"/>
    <n v="22.21"/>
    <n v="288.73"/>
  </r>
  <r>
    <x v="31"/>
    <x v="1"/>
    <x v="9"/>
    <x v="9"/>
    <n v="3"/>
    <n v="21.73"/>
    <n v="65.19"/>
  </r>
  <r>
    <x v="172"/>
    <x v="2"/>
    <x v="0"/>
    <x v="3"/>
    <n v="41"/>
    <n v="24.23"/>
    <n v="993.43000000000006"/>
  </r>
  <r>
    <x v="173"/>
    <x v="8"/>
    <x v="8"/>
    <x v="1"/>
    <n v="13"/>
    <n v="13.46"/>
    <n v="174.98000000000002"/>
  </r>
  <r>
    <x v="117"/>
    <x v="7"/>
    <x v="5"/>
    <x v="8"/>
    <n v="28"/>
    <n v="5.58"/>
    <n v="156.24"/>
  </r>
  <r>
    <x v="174"/>
    <x v="2"/>
    <x v="2"/>
    <x v="5"/>
    <n v="18"/>
    <n v="29.84"/>
    <n v="537.12"/>
  </r>
  <r>
    <x v="103"/>
    <x v="5"/>
    <x v="4"/>
    <x v="3"/>
    <n v="49"/>
    <n v="17.440000000000001"/>
    <n v="854.56000000000006"/>
  </r>
  <r>
    <x v="29"/>
    <x v="6"/>
    <x v="5"/>
    <x v="1"/>
    <n v="45"/>
    <n v="10.74"/>
    <n v="483.3"/>
  </r>
  <r>
    <x v="88"/>
    <x v="0"/>
    <x v="0"/>
    <x v="7"/>
    <n v="21"/>
    <n v="5.15"/>
    <n v="108.15"/>
  </r>
  <r>
    <x v="175"/>
    <x v="3"/>
    <x v="5"/>
    <x v="1"/>
    <n v="28"/>
    <n v="4.91"/>
    <n v="137.48000000000002"/>
  </r>
  <r>
    <x v="154"/>
    <x v="8"/>
    <x v="3"/>
    <x v="4"/>
    <n v="36"/>
    <n v="27.67"/>
    <n v="996.12000000000012"/>
  </r>
  <r>
    <x v="43"/>
    <x v="7"/>
    <x v="4"/>
    <x v="2"/>
    <n v="47"/>
    <n v="12.92"/>
    <n v="607.24"/>
  </r>
  <r>
    <x v="91"/>
    <x v="4"/>
    <x v="9"/>
    <x v="8"/>
    <n v="26"/>
    <n v="15.95"/>
    <n v="414.7"/>
  </r>
  <r>
    <x v="176"/>
    <x v="2"/>
    <x v="0"/>
    <x v="2"/>
    <n v="2"/>
    <n v="8.32"/>
    <n v="16.64"/>
  </r>
  <r>
    <x v="177"/>
    <x v="1"/>
    <x v="0"/>
    <x v="0"/>
    <n v="9"/>
    <n v="28.11"/>
    <n v="252.99"/>
  </r>
  <r>
    <x v="28"/>
    <x v="3"/>
    <x v="2"/>
    <x v="7"/>
    <n v="50"/>
    <n v="28.6"/>
    <n v="1430"/>
  </r>
  <r>
    <x v="11"/>
    <x v="6"/>
    <x v="4"/>
    <x v="3"/>
    <n v="11"/>
    <n v="27.99"/>
    <n v="307.89"/>
  </r>
  <r>
    <x v="130"/>
    <x v="6"/>
    <x v="2"/>
    <x v="2"/>
    <n v="39"/>
    <n v="9.16"/>
    <n v="357.24"/>
  </r>
  <r>
    <x v="80"/>
    <x v="1"/>
    <x v="6"/>
    <x v="1"/>
    <n v="24"/>
    <n v="27.11"/>
    <n v="650.64"/>
  </r>
  <r>
    <x v="144"/>
    <x v="7"/>
    <x v="8"/>
    <x v="9"/>
    <n v="9"/>
    <n v="10.220000000000001"/>
    <n v="91.98"/>
  </r>
  <r>
    <x v="178"/>
    <x v="2"/>
    <x v="3"/>
    <x v="8"/>
    <n v="31"/>
    <n v="12.72"/>
    <n v="394.32"/>
  </r>
  <r>
    <x v="179"/>
    <x v="8"/>
    <x v="3"/>
    <x v="1"/>
    <n v="3"/>
    <n v="5.99"/>
    <n v="17.97"/>
  </r>
  <r>
    <x v="6"/>
    <x v="1"/>
    <x v="4"/>
    <x v="3"/>
    <n v="6"/>
    <n v="24.44"/>
    <n v="146.64000000000001"/>
  </r>
  <r>
    <x v="180"/>
    <x v="1"/>
    <x v="0"/>
    <x v="8"/>
    <n v="31"/>
    <n v="2.15"/>
    <n v="66.649999999999991"/>
  </r>
  <r>
    <x v="43"/>
    <x v="4"/>
    <x v="6"/>
    <x v="2"/>
    <n v="20"/>
    <n v="8.6199999999999992"/>
    <n v="172.39999999999998"/>
  </r>
  <r>
    <x v="165"/>
    <x v="0"/>
    <x v="3"/>
    <x v="6"/>
    <n v="12"/>
    <n v="26.41"/>
    <n v="316.92"/>
  </r>
  <r>
    <x v="24"/>
    <x v="9"/>
    <x v="7"/>
    <x v="1"/>
    <n v="3"/>
    <n v="13.72"/>
    <n v="41.160000000000004"/>
  </r>
  <r>
    <x v="141"/>
    <x v="5"/>
    <x v="9"/>
    <x v="0"/>
    <n v="1"/>
    <n v="14.43"/>
    <n v="14.43"/>
  </r>
  <r>
    <x v="15"/>
    <x v="1"/>
    <x v="2"/>
    <x v="7"/>
    <n v="26"/>
    <n v="17.809999999999999"/>
    <n v="463.05999999999995"/>
  </r>
  <r>
    <x v="181"/>
    <x v="3"/>
    <x v="4"/>
    <x v="3"/>
    <n v="42"/>
    <n v="17.079999999999998"/>
    <n v="717.3599999999999"/>
  </r>
  <r>
    <x v="4"/>
    <x v="3"/>
    <x v="1"/>
    <x v="8"/>
    <n v="18"/>
    <n v="25.27"/>
    <n v="454.86"/>
  </r>
  <r>
    <x v="182"/>
    <x v="7"/>
    <x v="8"/>
    <x v="1"/>
    <n v="48"/>
    <n v="2.09"/>
    <n v="100.32"/>
  </r>
  <r>
    <x v="183"/>
    <x v="9"/>
    <x v="0"/>
    <x v="9"/>
    <n v="14"/>
    <n v="24.62"/>
    <n v="344.68"/>
  </r>
  <r>
    <x v="184"/>
    <x v="5"/>
    <x v="7"/>
    <x v="0"/>
    <n v="47"/>
    <n v="18.38"/>
    <n v="863.8599999999999"/>
  </r>
  <r>
    <x v="144"/>
    <x v="3"/>
    <x v="4"/>
    <x v="1"/>
    <n v="25"/>
    <n v="16.16"/>
    <n v="404"/>
  </r>
  <r>
    <x v="0"/>
    <x v="6"/>
    <x v="6"/>
    <x v="0"/>
    <n v="36"/>
    <n v="5.14"/>
    <n v="185.04"/>
  </r>
  <r>
    <x v="79"/>
    <x v="4"/>
    <x v="7"/>
    <x v="4"/>
    <n v="18"/>
    <n v="2.14"/>
    <n v="38.520000000000003"/>
  </r>
  <r>
    <x v="134"/>
    <x v="4"/>
    <x v="5"/>
    <x v="9"/>
    <n v="11"/>
    <n v="14.87"/>
    <n v="163.57"/>
  </r>
  <r>
    <x v="185"/>
    <x v="5"/>
    <x v="8"/>
    <x v="7"/>
    <n v="10"/>
    <n v="4.78"/>
    <n v="47.800000000000004"/>
  </r>
  <r>
    <x v="186"/>
    <x v="6"/>
    <x v="0"/>
    <x v="0"/>
    <n v="49"/>
    <n v="7.91"/>
    <n v="387.59000000000003"/>
  </r>
  <r>
    <x v="117"/>
    <x v="8"/>
    <x v="0"/>
    <x v="8"/>
    <n v="49"/>
    <n v="22.91"/>
    <n v="1122.5899999999999"/>
  </r>
  <r>
    <x v="187"/>
    <x v="8"/>
    <x v="9"/>
    <x v="8"/>
    <n v="14"/>
    <n v="28"/>
    <n v="392"/>
  </r>
  <r>
    <x v="188"/>
    <x v="3"/>
    <x v="4"/>
    <x v="3"/>
    <n v="8"/>
    <n v="23.71"/>
    <n v="189.68"/>
  </r>
  <r>
    <x v="22"/>
    <x v="3"/>
    <x v="2"/>
    <x v="4"/>
    <n v="28"/>
    <n v="13.07"/>
    <n v="365.96000000000004"/>
  </r>
  <r>
    <x v="62"/>
    <x v="6"/>
    <x v="2"/>
    <x v="6"/>
    <n v="13"/>
    <n v="18.12"/>
    <n v="235.56"/>
  </r>
  <r>
    <x v="189"/>
    <x v="8"/>
    <x v="8"/>
    <x v="3"/>
    <n v="32"/>
    <n v="2.84"/>
    <n v="90.88"/>
  </r>
  <r>
    <x v="190"/>
    <x v="5"/>
    <x v="2"/>
    <x v="7"/>
    <n v="7"/>
    <n v="4.12"/>
    <n v="28.84"/>
  </r>
  <r>
    <x v="32"/>
    <x v="2"/>
    <x v="2"/>
    <x v="6"/>
    <n v="26"/>
    <n v="28.22"/>
    <n v="733.72"/>
  </r>
  <r>
    <x v="90"/>
    <x v="3"/>
    <x v="3"/>
    <x v="2"/>
    <n v="5"/>
    <n v="13.79"/>
    <n v="68.949999999999989"/>
  </r>
  <r>
    <x v="191"/>
    <x v="9"/>
    <x v="5"/>
    <x v="4"/>
    <n v="4"/>
    <n v="20.74"/>
    <n v="82.96"/>
  </r>
  <r>
    <x v="39"/>
    <x v="7"/>
    <x v="4"/>
    <x v="0"/>
    <n v="13"/>
    <n v="3.84"/>
    <n v="49.92"/>
  </r>
  <r>
    <x v="192"/>
    <x v="4"/>
    <x v="6"/>
    <x v="8"/>
    <n v="17"/>
    <n v="24.11"/>
    <n v="409.87"/>
  </r>
  <r>
    <x v="178"/>
    <x v="1"/>
    <x v="2"/>
    <x v="1"/>
    <n v="35"/>
    <n v="3.5"/>
    <n v="122.5"/>
  </r>
  <r>
    <x v="193"/>
    <x v="4"/>
    <x v="9"/>
    <x v="5"/>
    <n v="1"/>
    <n v="16.920000000000002"/>
    <n v="16.920000000000002"/>
  </r>
  <r>
    <x v="194"/>
    <x v="6"/>
    <x v="4"/>
    <x v="4"/>
    <n v="49"/>
    <n v="14.59"/>
    <n v="714.91"/>
  </r>
  <r>
    <x v="51"/>
    <x v="8"/>
    <x v="1"/>
    <x v="1"/>
    <n v="25"/>
    <n v="16.170000000000002"/>
    <n v="404.25000000000006"/>
  </r>
  <r>
    <x v="9"/>
    <x v="4"/>
    <x v="1"/>
    <x v="8"/>
    <n v="4"/>
    <n v="19.52"/>
    <n v="78.08"/>
  </r>
  <r>
    <x v="195"/>
    <x v="4"/>
    <x v="0"/>
    <x v="1"/>
    <n v="17"/>
    <n v="25.74"/>
    <n v="437.58"/>
  </r>
  <r>
    <x v="118"/>
    <x v="6"/>
    <x v="9"/>
    <x v="0"/>
    <n v="11"/>
    <n v="14.82"/>
    <n v="163.02000000000001"/>
  </r>
  <r>
    <x v="196"/>
    <x v="8"/>
    <x v="0"/>
    <x v="7"/>
    <n v="36"/>
    <n v="13.55"/>
    <n v="487.8"/>
  </r>
  <r>
    <x v="197"/>
    <x v="2"/>
    <x v="7"/>
    <x v="0"/>
    <n v="4"/>
    <n v="5.63"/>
    <n v="22.52"/>
  </r>
  <r>
    <x v="130"/>
    <x v="6"/>
    <x v="0"/>
    <x v="4"/>
    <n v="6"/>
    <n v="19.18"/>
    <n v="115.08"/>
  </r>
  <r>
    <x v="95"/>
    <x v="2"/>
    <x v="2"/>
    <x v="8"/>
    <n v="17"/>
    <n v="26.44"/>
    <n v="449.48"/>
  </r>
  <r>
    <x v="92"/>
    <x v="5"/>
    <x v="9"/>
    <x v="5"/>
    <n v="11"/>
    <n v="11.96"/>
    <n v="131.56"/>
  </r>
  <r>
    <x v="14"/>
    <x v="9"/>
    <x v="4"/>
    <x v="2"/>
    <n v="21"/>
    <n v="23.48"/>
    <n v="493.08"/>
  </r>
  <r>
    <x v="198"/>
    <x v="1"/>
    <x v="5"/>
    <x v="8"/>
    <n v="3"/>
    <n v="7.92"/>
    <n v="23.759999999999998"/>
  </r>
  <r>
    <x v="135"/>
    <x v="0"/>
    <x v="2"/>
    <x v="0"/>
    <n v="44"/>
    <n v="7.25"/>
    <n v="319"/>
  </r>
  <r>
    <x v="199"/>
    <x v="2"/>
    <x v="6"/>
    <x v="0"/>
    <n v="22"/>
    <n v="23.42"/>
    <n v="515.24"/>
  </r>
  <r>
    <x v="33"/>
    <x v="5"/>
    <x v="2"/>
    <x v="1"/>
    <n v="35"/>
    <n v="27.27"/>
    <n v="954.44999999999993"/>
  </r>
  <r>
    <x v="94"/>
    <x v="8"/>
    <x v="7"/>
    <x v="5"/>
    <n v="6"/>
    <n v="13.24"/>
    <n v="79.44"/>
  </r>
  <r>
    <x v="81"/>
    <x v="7"/>
    <x v="7"/>
    <x v="6"/>
    <n v="35"/>
    <n v="9.52"/>
    <n v="333.2"/>
  </r>
  <r>
    <x v="197"/>
    <x v="4"/>
    <x v="4"/>
    <x v="4"/>
    <n v="17"/>
    <n v="3.58"/>
    <n v="60.86"/>
  </r>
  <r>
    <x v="178"/>
    <x v="5"/>
    <x v="2"/>
    <x v="7"/>
    <n v="22"/>
    <n v="9.1300000000000008"/>
    <n v="200.86"/>
  </r>
  <r>
    <x v="200"/>
    <x v="9"/>
    <x v="9"/>
    <x v="6"/>
    <n v="6"/>
    <n v="6.86"/>
    <n v="41.160000000000004"/>
  </r>
  <r>
    <x v="201"/>
    <x v="6"/>
    <x v="8"/>
    <x v="5"/>
    <n v="48"/>
    <n v="15.2"/>
    <n v="729.59999999999991"/>
  </r>
  <r>
    <x v="202"/>
    <x v="5"/>
    <x v="6"/>
    <x v="6"/>
    <n v="34"/>
    <n v="10.7"/>
    <n v="363.79999999999995"/>
  </r>
  <r>
    <x v="203"/>
    <x v="9"/>
    <x v="1"/>
    <x v="2"/>
    <n v="1"/>
    <n v="8.99"/>
    <n v="8.99"/>
  </r>
  <r>
    <x v="164"/>
    <x v="6"/>
    <x v="0"/>
    <x v="5"/>
    <n v="30"/>
    <n v="24.14"/>
    <n v="724.2"/>
  </r>
  <r>
    <x v="118"/>
    <x v="4"/>
    <x v="6"/>
    <x v="4"/>
    <n v="22"/>
    <n v="14.34"/>
    <n v="315.48"/>
  </r>
  <r>
    <x v="147"/>
    <x v="9"/>
    <x v="7"/>
    <x v="4"/>
    <n v="38"/>
    <n v="5.18"/>
    <n v="196.83999999999997"/>
  </r>
  <r>
    <x v="192"/>
    <x v="1"/>
    <x v="6"/>
    <x v="9"/>
    <n v="33"/>
    <n v="24.87"/>
    <n v="820.71"/>
  </r>
  <r>
    <x v="204"/>
    <x v="6"/>
    <x v="7"/>
    <x v="9"/>
    <n v="11"/>
    <n v="9.6999999999999993"/>
    <n v="106.69999999999999"/>
  </r>
  <r>
    <x v="38"/>
    <x v="1"/>
    <x v="2"/>
    <x v="2"/>
    <n v="13"/>
    <n v="29.41"/>
    <n v="382.33"/>
  </r>
  <r>
    <x v="117"/>
    <x v="1"/>
    <x v="2"/>
    <x v="4"/>
    <n v="7"/>
    <n v="18.2"/>
    <n v="127.39999999999999"/>
  </r>
  <r>
    <x v="205"/>
    <x v="1"/>
    <x v="1"/>
    <x v="0"/>
    <n v="44"/>
    <n v="10.64"/>
    <n v="468.16"/>
  </r>
  <r>
    <x v="17"/>
    <x v="3"/>
    <x v="4"/>
    <x v="8"/>
    <n v="25"/>
    <n v="21.01"/>
    <n v="525.25"/>
  </r>
  <r>
    <x v="63"/>
    <x v="5"/>
    <x v="5"/>
    <x v="7"/>
    <n v="30"/>
    <n v="29.06"/>
    <n v="871.8"/>
  </r>
  <r>
    <x v="143"/>
    <x v="9"/>
    <x v="5"/>
    <x v="6"/>
    <n v="39"/>
    <n v="3.37"/>
    <n v="131.43"/>
  </r>
  <r>
    <x v="206"/>
    <x v="1"/>
    <x v="0"/>
    <x v="8"/>
    <n v="38"/>
    <n v="9.2100000000000009"/>
    <n v="349.98"/>
  </r>
  <r>
    <x v="207"/>
    <x v="9"/>
    <x v="7"/>
    <x v="5"/>
    <n v="8"/>
    <n v="15.15"/>
    <n v="121.2"/>
  </r>
  <r>
    <x v="92"/>
    <x v="7"/>
    <x v="4"/>
    <x v="9"/>
    <n v="44"/>
    <n v="15.27"/>
    <n v="671.88"/>
  </r>
  <r>
    <x v="42"/>
    <x v="3"/>
    <x v="6"/>
    <x v="9"/>
    <n v="29"/>
    <n v="21.41"/>
    <n v="620.89"/>
  </r>
  <r>
    <x v="208"/>
    <x v="6"/>
    <x v="1"/>
    <x v="1"/>
    <n v="24"/>
    <n v="12.24"/>
    <n v="293.76"/>
  </r>
  <r>
    <x v="209"/>
    <x v="5"/>
    <x v="9"/>
    <x v="6"/>
    <n v="2"/>
    <n v="5.55"/>
    <n v="11.1"/>
  </r>
  <r>
    <x v="173"/>
    <x v="7"/>
    <x v="8"/>
    <x v="7"/>
    <n v="46"/>
    <n v="19.84"/>
    <n v="912.64"/>
  </r>
  <r>
    <x v="210"/>
    <x v="5"/>
    <x v="8"/>
    <x v="2"/>
    <n v="48"/>
    <n v="2.92"/>
    <n v="140.16"/>
  </r>
  <r>
    <x v="58"/>
    <x v="5"/>
    <x v="7"/>
    <x v="9"/>
    <n v="33"/>
    <n v="11.72"/>
    <n v="386.76000000000005"/>
  </r>
  <r>
    <x v="64"/>
    <x v="4"/>
    <x v="6"/>
    <x v="0"/>
    <n v="26"/>
    <n v="16.7"/>
    <n v="434.2"/>
  </r>
  <r>
    <x v="34"/>
    <x v="6"/>
    <x v="8"/>
    <x v="2"/>
    <n v="15"/>
    <n v="6.76"/>
    <n v="101.39999999999999"/>
  </r>
  <r>
    <x v="165"/>
    <x v="1"/>
    <x v="3"/>
    <x v="5"/>
    <n v="6"/>
    <n v="21"/>
    <n v="126"/>
  </r>
  <r>
    <x v="74"/>
    <x v="6"/>
    <x v="7"/>
    <x v="9"/>
    <n v="23"/>
    <n v="15.8"/>
    <n v="363.40000000000003"/>
  </r>
  <r>
    <x v="211"/>
    <x v="8"/>
    <x v="3"/>
    <x v="1"/>
    <n v="39"/>
    <n v="10.17"/>
    <n v="396.63"/>
  </r>
  <r>
    <x v="212"/>
    <x v="0"/>
    <x v="4"/>
    <x v="7"/>
    <n v="11"/>
    <n v="28.38"/>
    <n v="312.18"/>
  </r>
  <r>
    <x v="130"/>
    <x v="6"/>
    <x v="1"/>
    <x v="2"/>
    <n v="30"/>
    <n v="27.35"/>
    <n v="820.5"/>
  </r>
  <r>
    <x v="213"/>
    <x v="6"/>
    <x v="9"/>
    <x v="1"/>
    <n v="25"/>
    <n v="17.690000000000001"/>
    <n v="442.25000000000006"/>
  </r>
  <r>
    <x v="152"/>
    <x v="8"/>
    <x v="4"/>
    <x v="6"/>
    <n v="6"/>
    <n v="21.27"/>
    <n v="127.62"/>
  </r>
  <r>
    <x v="138"/>
    <x v="0"/>
    <x v="9"/>
    <x v="5"/>
    <n v="40"/>
    <n v="18.71"/>
    <n v="748.40000000000009"/>
  </r>
  <r>
    <x v="214"/>
    <x v="3"/>
    <x v="2"/>
    <x v="7"/>
    <n v="17"/>
    <n v="13.32"/>
    <n v="226.44"/>
  </r>
  <r>
    <x v="215"/>
    <x v="9"/>
    <x v="4"/>
    <x v="0"/>
    <n v="45"/>
    <n v="25.69"/>
    <n v="1156.05"/>
  </r>
  <r>
    <x v="192"/>
    <x v="9"/>
    <x v="5"/>
    <x v="4"/>
    <n v="47"/>
    <n v="20.93"/>
    <n v="983.71"/>
  </r>
  <r>
    <x v="162"/>
    <x v="9"/>
    <x v="3"/>
    <x v="9"/>
    <n v="13"/>
    <n v="12.39"/>
    <n v="161.07"/>
  </r>
  <r>
    <x v="216"/>
    <x v="8"/>
    <x v="3"/>
    <x v="6"/>
    <n v="38"/>
    <n v="19.579999999999998"/>
    <n v="744.04"/>
  </r>
  <r>
    <x v="217"/>
    <x v="8"/>
    <x v="3"/>
    <x v="1"/>
    <n v="29"/>
    <n v="4.75"/>
    <n v="137.75"/>
  </r>
  <r>
    <x v="197"/>
    <x v="4"/>
    <x v="8"/>
    <x v="0"/>
    <n v="36"/>
    <n v="12.55"/>
    <n v="451.8"/>
  </r>
  <r>
    <x v="44"/>
    <x v="6"/>
    <x v="7"/>
    <x v="7"/>
    <n v="28"/>
    <n v="6.58"/>
    <n v="184.24"/>
  </r>
  <r>
    <x v="218"/>
    <x v="8"/>
    <x v="3"/>
    <x v="5"/>
    <n v="45"/>
    <n v="25.82"/>
    <n v="1161.9000000000001"/>
  </r>
  <r>
    <x v="183"/>
    <x v="7"/>
    <x v="5"/>
    <x v="0"/>
    <n v="15"/>
    <n v="22.62"/>
    <n v="339.3"/>
  </r>
  <r>
    <x v="176"/>
    <x v="0"/>
    <x v="6"/>
    <x v="2"/>
    <n v="44"/>
    <n v="5.14"/>
    <n v="226.16"/>
  </r>
  <r>
    <x v="219"/>
    <x v="2"/>
    <x v="1"/>
    <x v="1"/>
    <n v="15"/>
    <n v="16.8"/>
    <n v="252"/>
  </r>
  <r>
    <x v="76"/>
    <x v="6"/>
    <x v="2"/>
    <x v="9"/>
    <n v="26"/>
    <n v="11.54"/>
    <n v="300.03999999999996"/>
  </r>
  <r>
    <x v="161"/>
    <x v="1"/>
    <x v="9"/>
    <x v="4"/>
    <n v="45"/>
    <n v="5.45"/>
    <n v="245.25"/>
  </r>
  <r>
    <x v="220"/>
    <x v="1"/>
    <x v="1"/>
    <x v="7"/>
    <n v="18"/>
    <n v="7.59"/>
    <n v="136.62"/>
  </r>
  <r>
    <x v="221"/>
    <x v="7"/>
    <x v="6"/>
    <x v="4"/>
    <n v="15"/>
    <n v="18.98"/>
    <n v="284.7"/>
  </r>
  <r>
    <x v="84"/>
    <x v="5"/>
    <x v="9"/>
    <x v="7"/>
    <n v="50"/>
    <n v="26.42"/>
    <n v="1321"/>
  </r>
  <r>
    <x v="10"/>
    <x v="1"/>
    <x v="0"/>
    <x v="4"/>
    <n v="10"/>
    <n v="28"/>
    <n v="280"/>
  </r>
  <r>
    <x v="219"/>
    <x v="8"/>
    <x v="7"/>
    <x v="8"/>
    <n v="20"/>
    <n v="12.74"/>
    <n v="254.8"/>
  </r>
  <r>
    <x v="222"/>
    <x v="4"/>
    <x v="6"/>
    <x v="1"/>
    <n v="3"/>
    <n v="24.53"/>
    <n v="73.59"/>
  </r>
  <r>
    <x v="223"/>
    <x v="6"/>
    <x v="6"/>
    <x v="2"/>
    <n v="35"/>
    <n v="12.61"/>
    <n v="441.34999999999997"/>
  </r>
  <r>
    <x v="224"/>
    <x v="3"/>
    <x v="9"/>
    <x v="1"/>
    <n v="29"/>
    <n v="5.63"/>
    <n v="163.27000000000001"/>
  </r>
  <r>
    <x v="225"/>
    <x v="5"/>
    <x v="8"/>
    <x v="3"/>
    <n v="30"/>
    <n v="21.46"/>
    <n v="643.80000000000007"/>
  </r>
  <r>
    <x v="226"/>
    <x v="3"/>
    <x v="4"/>
    <x v="1"/>
    <n v="7"/>
    <n v="21.55"/>
    <n v="150.85"/>
  </r>
  <r>
    <x v="227"/>
    <x v="4"/>
    <x v="7"/>
    <x v="8"/>
    <n v="15"/>
    <n v="26.94"/>
    <n v="404.1"/>
  </r>
  <r>
    <x v="228"/>
    <x v="6"/>
    <x v="8"/>
    <x v="4"/>
    <n v="49"/>
    <n v="29.7"/>
    <n v="1455.3"/>
  </r>
  <r>
    <x v="229"/>
    <x v="9"/>
    <x v="9"/>
    <x v="5"/>
    <n v="2"/>
    <n v="29.04"/>
    <n v="58.08"/>
  </r>
  <r>
    <x v="138"/>
    <x v="0"/>
    <x v="1"/>
    <x v="9"/>
    <n v="17"/>
    <n v="22.75"/>
    <n v="386.75"/>
  </r>
  <r>
    <x v="181"/>
    <x v="4"/>
    <x v="6"/>
    <x v="2"/>
    <n v="38"/>
    <n v="6.53"/>
    <n v="248.14000000000001"/>
  </r>
  <r>
    <x v="222"/>
    <x v="1"/>
    <x v="4"/>
    <x v="3"/>
    <n v="36"/>
    <n v="25.7"/>
    <n v="925.19999999999993"/>
  </r>
  <r>
    <x v="5"/>
    <x v="2"/>
    <x v="3"/>
    <x v="2"/>
    <n v="43"/>
    <n v="14.77"/>
    <n v="635.11"/>
  </r>
  <r>
    <x v="230"/>
    <x v="1"/>
    <x v="1"/>
    <x v="4"/>
    <n v="29"/>
    <n v="16.11"/>
    <n v="467.19"/>
  </r>
  <r>
    <x v="192"/>
    <x v="5"/>
    <x v="4"/>
    <x v="0"/>
    <n v="10"/>
    <n v="17.420000000000002"/>
    <n v="174.20000000000002"/>
  </r>
  <r>
    <x v="108"/>
    <x v="3"/>
    <x v="6"/>
    <x v="1"/>
    <n v="10"/>
    <n v="7.95"/>
    <n v="79.5"/>
  </r>
  <r>
    <x v="212"/>
    <x v="0"/>
    <x v="0"/>
    <x v="9"/>
    <n v="26"/>
    <n v="29.8"/>
    <n v="774.80000000000007"/>
  </r>
  <r>
    <x v="231"/>
    <x v="5"/>
    <x v="0"/>
    <x v="8"/>
    <n v="36"/>
    <n v="10.88"/>
    <n v="391.68"/>
  </r>
  <r>
    <x v="38"/>
    <x v="1"/>
    <x v="6"/>
    <x v="4"/>
    <n v="6"/>
    <n v="25.69"/>
    <n v="154.14000000000001"/>
  </r>
  <r>
    <x v="196"/>
    <x v="5"/>
    <x v="3"/>
    <x v="0"/>
    <n v="34"/>
    <n v="5.95"/>
    <n v="202.3"/>
  </r>
  <r>
    <x v="231"/>
    <x v="4"/>
    <x v="9"/>
    <x v="7"/>
    <n v="29"/>
    <n v="13.72"/>
    <n v="397.88"/>
  </r>
  <r>
    <x v="232"/>
    <x v="6"/>
    <x v="2"/>
    <x v="9"/>
    <n v="18"/>
    <n v="6.76"/>
    <n v="121.67999999999999"/>
  </r>
  <r>
    <x v="4"/>
    <x v="6"/>
    <x v="2"/>
    <x v="5"/>
    <n v="10"/>
    <n v="21.76"/>
    <n v="217.60000000000002"/>
  </r>
  <r>
    <x v="143"/>
    <x v="1"/>
    <x v="6"/>
    <x v="0"/>
    <n v="25"/>
    <n v="28.77"/>
    <n v="719.25"/>
  </r>
  <r>
    <x v="233"/>
    <x v="3"/>
    <x v="5"/>
    <x v="4"/>
    <n v="26"/>
    <n v="16.850000000000001"/>
    <n v="438.1"/>
  </r>
  <r>
    <x v="234"/>
    <x v="9"/>
    <x v="2"/>
    <x v="8"/>
    <n v="7"/>
    <n v="17.55"/>
    <n v="122.85000000000001"/>
  </r>
  <r>
    <x v="235"/>
    <x v="2"/>
    <x v="7"/>
    <x v="9"/>
    <n v="9"/>
    <n v="16.22"/>
    <n v="145.97999999999999"/>
  </r>
  <r>
    <x v="20"/>
    <x v="0"/>
    <x v="2"/>
    <x v="6"/>
    <n v="10"/>
    <n v="8.51"/>
    <n v="85.1"/>
  </r>
  <r>
    <x v="236"/>
    <x v="1"/>
    <x v="4"/>
    <x v="7"/>
    <n v="31"/>
    <n v="10.7"/>
    <n v="331.7"/>
  </r>
  <r>
    <x v="150"/>
    <x v="8"/>
    <x v="0"/>
    <x v="4"/>
    <n v="36"/>
    <n v="20.38"/>
    <n v="733.68"/>
  </r>
  <r>
    <x v="197"/>
    <x v="6"/>
    <x v="0"/>
    <x v="3"/>
    <n v="23"/>
    <n v="16.61"/>
    <n v="382.03"/>
  </r>
  <r>
    <x v="237"/>
    <x v="6"/>
    <x v="3"/>
    <x v="5"/>
    <n v="32"/>
    <n v="11.25"/>
    <n v="360"/>
  </r>
  <r>
    <x v="120"/>
    <x v="5"/>
    <x v="6"/>
    <x v="8"/>
    <n v="37"/>
    <n v="24.72"/>
    <n v="914.64"/>
  </r>
  <r>
    <x v="152"/>
    <x v="9"/>
    <x v="9"/>
    <x v="2"/>
    <n v="6"/>
    <n v="28.04"/>
    <n v="168.24"/>
  </r>
  <r>
    <x v="63"/>
    <x v="7"/>
    <x v="4"/>
    <x v="8"/>
    <n v="13"/>
    <n v="18.77"/>
    <n v="244.01"/>
  </r>
  <r>
    <x v="238"/>
    <x v="3"/>
    <x v="8"/>
    <x v="4"/>
    <n v="16"/>
    <n v="23.52"/>
    <n v="376.32"/>
  </r>
  <r>
    <x v="23"/>
    <x v="7"/>
    <x v="3"/>
    <x v="4"/>
    <n v="36"/>
    <n v="29.66"/>
    <n v="1067.76"/>
  </r>
  <r>
    <x v="43"/>
    <x v="9"/>
    <x v="4"/>
    <x v="0"/>
    <n v="15"/>
    <n v="25.79"/>
    <n v="386.84999999999997"/>
  </r>
  <r>
    <x v="239"/>
    <x v="6"/>
    <x v="0"/>
    <x v="8"/>
    <n v="33"/>
    <n v="29.96"/>
    <n v="988.68000000000006"/>
  </r>
  <r>
    <x v="180"/>
    <x v="9"/>
    <x v="7"/>
    <x v="7"/>
    <n v="26"/>
    <n v="7.94"/>
    <n v="206.44"/>
  </r>
  <r>
    <x v="63"/>
    <x v="4"/>
    <x v="3"/>
    <x v="4"/>
    <n v="20"/>
    <n v="7.96"/>
    <n v="159.19999999999999"/>
  </r>
  <r>
    <x v="240"/>
    <x v="4"/>
    <x v="3"/>
    <x v="3"/>
    <n v="27"/>
    <n v="25.47"/>
    <n v="687.68999999999994"/>
  </r>
  <r>
    <x v="199"/>
    <x v="7"/>
    <x v="1"/>
    <x v="5"/>
    <n v="29"/>
    <n v="3.52"/>
    <n v="102.08"/>
  </r>
  <r>
    <x v="241"/>
    <x v="8"/>
    <x v="2"/>
    <x v="1"/>
    <n v="2"/>
    <n v="13.63"/>
    <n v="27.26"/>
  </r>
  <r>
    <x v="122"/>
    <x v="4"/>
    <x v="9"/>
    <x v="9"/>
    <n v="34"/>
    <n v="7.51"/>
    <n v="255.34"/>
  </r>
  <r>
    <x v="93"/>
    <x v="8"/>
    <x v="0"/>
    <x v="2"/>
    <n v="42"/>
    <n v="13.25"/>
    <n v="556.5"/>
  </r>
  <r>
    <x v="242"/>
    <x v="4"/>
    <x v="1"/>
    <x v="6"/>
    <n v="18"/>
    <n v="12.3"/>
    <n v="221.4"/>
  </r>
  <r>
    <x v="117"/>
    <x v="7"/>
    <x v="7"/>
    <x v="4"/>
    <n v="25"/>
    <n v="10.86"/>
    <n v="271.5"/>
  </r>
  <r>
    <x v="210"/>
    <x v="6"/>
    <x v="0"/>
    <x v="8"/>
    <n v="8"/>
    <n v="29.12"/>
    <n v="232.96"/>
  </r>
  <r>
    <x v="117"/>
    <x v="1"/>
    <x v="9"/>
    <x v="2"/>
    <n v="10"/>
    <n v="24.08"/>
    <n v="240.79999999999998"/>
  </r>
  <r>
    <x v="115"/>
    <x v="9"/>
    <x v="9"/>
    <x v="8"/>
    <n v="10"/>
    <n v="18.05"/>
    <n v="180.5"/>
  </r>
  <r>
    <x v="243"/>
    <x v="5"/>
    <x v="6"/>
    <x v="4"/>
    <n v="39"/>
    <n v="15.03"/>
    <n v="586.16999999999996"/>
  </r>
  <r>
    <x v="244"/>
    <x v="8"/>
    <x v="8"/>
    <x v="1"/>
    <n v="17"/>
    <n v="9.77"/>
    <n v="166.09"/>
  </r>
  <r>
    <x v="228"/>
    <x v="2"/>
    <x v="4"/>
    <x v="5"/>
    <n v="26"/>
    <n v="19.12"/>
    <n v="497.12"/>
  </r>
  <r>
    <x v="152"/>
    <x v="1"/>
    <x v="6"/>
    <x v="6"/>
    <n v="50"/>
    <n v="7.93"/>
    <n v="396.5"/>
  </r>
  <r>
    <x v="93"/>
    <x v="6"/>
    <x v="4"/>
    <x v="8"/>
    <n v="23"/>
    <n v="23.85"/>
    <n v="548.55000000000007"/>
  </r>
  <r>
    <x v="92"/>
    <x v="0"/>
    <x v="9"/>
    <x v="2"/>
    <n v="26"/>
    <n v="11.66"/>
    <n v="303.16000000000003"/>
  </r>
  <r>
    <x v="188"/>
    <x v="1"/>
    <x v="0"/>
    <x v="9"/>
    <n v="8"/>
    <n v="17.96"/>
    <n v="143.68"/>
  </r>
  <r>
    <x v="111"/>
    <x v="8"/>
    <x v="0"/>
    <x v="7"/>
    <n v="5"/>
    <n v="12.34"/>
    <n v="61.7"/>
  </r>
  <r>
    <x v="241"/>
    <x v="2"/>
    <x v="6"/>
    <x v="1"/>
    <n v="4"/>
    <n v="16.95"/>
    <n v="67.8"/>
  </r>
  <r>
    <x v="186"/>
    <x v="5"/>
    <x v="5"/>
    <x v="9"/>
    <n v="49"/>
    <n v="3.42"/>
    <n v="167.57999999999998"/>
  </r>
  <r>
    <x v="245"/>
    <x v="6"/>
    <x v="3"/>
    <x v="6"/>
    <n v="15"/>
    <n v="20.65"/>
    <n v="309.75"/>
  </r>
  <r>
    <x v="180"/>
    <x v="0"/>
    <x v="8"/>
    <x v="4"/>
    <n v="50"/>
    <n v="21.42"/>
    <n v="1071"/>
  </r>
  <r>
    <x v="203"/>
    <x v="6"/>
    <x v="9"/>
    <x v="4"/>
    <n v="18"/>
    <n v="17.579999999999998"/>
    <n v="316.43999999999994"/>
  </r>
  <r>
    <x v="105"/>
    <x v="1"/>
    <x v="3"/>
    <x v="4"/>
    <n v="44"/>
    <n v="20.76"/>
    <n v="913.44"/>
  </r>
  <r>
    <x v="177"/>
    <x v="1"/>
    <x v="7"/>
    <x v="0"/>
    <n v="17"/>
    <n v="8.91"/>
    <n v="151.47"/>
  </r>
  <r>
    <x v="53"/>
    <x v="1"/>
    <x v="8"/>
    <x v="4"/>
    <n v="19"/>
    <n v="5.6"/>
    <n v="106.39999999999999"/>
  </r>
  <r>
    <x v="246"/>
    <x v="9"/>
    <x v="9"/>
    <x v="5"/>
    <n v="4"/>
    <n v="25.54"/>
    <n v="102.16"/>
  </r>
  <r>
    <x v="129"/>
    <x v="3"/>
    <x v="1"/>
    <x v="8"/>
    <n v="4"/>
    <n v="21.43"/>
    <n v="85.72"/>
  </r>
  <r>
    <x v="166"/>
    <x v="9"/>
    <x v="0"/>
    <x v="8"/>
    <n v="13"/>
    <n v="16.940000000000001"/>
    <n v="220.22000000000003"/>
  </r>
  <r>
    <x v="247"/>
    <x v="7"/>
    <x v="2"/>
    <x v="8"/>
    <n v="41"/>
    <n v="17.100000000000001"/>
    <n v="701.1"/>
  </r>
  <r>
    <x v="248"/>
    <x v="6"/>
    <x v="0"/>
    <x v="6"/>
    <n v="12"/>
    <n v="9.61"/>
    <n v="115.32"/>
  </r>
  <r>
    <x v="101"/>
    <x v="1"/>
    <x v="7"/>
    <x v="2"/>
    <n v="42"/>
    <n v="24.45"/>
    <n v="1026.8999999999999"/>
  </r>
  <r>
    <x v="131"/>
    <x v="9"/>
    <x v="7"/>
    <x v="7"/>
    <n v="35"/>
    <n v="16.2"/>
    <n v="567"/>
  </r>
  <r>
    <x v="100"/>
    <x v="1"/>
    <x v="0"/>
    <x v="3"/>
    <n v="21"/>
    <n v="18.18"/>
    <n v="381.78"/>
  </r>
  <r>
    <x v="249"/>
    <x v="6"/>
    <x v="8"/>
    <x v="8"/>
    <n v="8"/>
    <n v="17.97"/>
    <n v="143.76"/>
  </r>
  <r>
    <x v="74"/>
    <x v="3"/>
    <x v="8"/>
    <x v="9"/>
    <n v="18"/>
    <n v="26.46"/>
    <n v="476.28000000000003"/>
  </r>
  <r>
    <x v="194"/>
    <x v="0"/>
    <x v="4"/>
    <x v="0"/>
    <n v="33"/>
    <n v="25.82"/>
    <n v="852.06000000000006"/>
  </r>
  <r>
    <x v="250"/>
    <x v="6"/>
    <x v="6"/>
    <x v="8"/>
    <n v="36"/>
    <n v="11.29"/>
    <n v="406.43999999999994"/>
  </r>
  <r>
    <x v="0"/>
    <x v="0"/>
    <x v="7"/>
    <x v="4"/>
    <n v="7"/>
    <n v="18.21"/>
    <n v="127.47"/>
  </r>
  <r>
    <x v="251"/>
    <x v="8"/>
    <x v="4"/>
    <x v="0"/>
    <n v="3"/>
    <n v="2.78"/>
    <n v="8.34"/>
  </r>
  <r>
    <x v="67"/>
    <x v="2"/>
    <x v="5"/>
    <x v="3"/>
    <n v="2"/>
    <n v="2.4900000000000002"/>
    <n v="4.9800000000000004"/>
  </r>
  <r>
    <x v="128"/>
    <x v="8"/>
    <x v="1"/>
    <x v="0"/>
    <n v="22"/>
    <n v="13.1"/>
    <n v="288.2"/>
  </r>
  <r>
    <x v="90"/>
    <x v="8"/>
    <x v="5"/>
    <x v="5"/>
    <n v="35"/>
    <n v="15.14"/>
    <n v="529.9"/>
  </r>
  <r>
    <x v="252"/>
    <x v="7"/>
    <x v="4"/>
    <x v="6"/>
    <n v="31"/>
    <n v="14.22"/>
    <n v="440.82"/>
  </r>
  <r>
    <x v="253"/>
    <x v="6"/>
    <x v="6"/>
    <x v="0"/>
    <n v="12"/>
    <n v="3.03"/>
    <n v="36.36"/>
  </r>
  <r>
    <x v="177"/>
    <x v="0"/>
    <x v="8"/>
    <x v="4"/>
    <n v="49"/>
    <n v="6.73"/>
    <n v="329.77000000000004"/>
  </r>
  <r>
    <x v="187"/>
    <x v="0"/>
    <x v="9"/>
    <x v="8"/>
    <n v="15"/>
    <n v="4.6900000000000004"/>
    <n v="70.350000000000009"/>
  </r>
  <r>
    <x v="17"/>
    <x v="0"/>
    <x v="9"/>
    <x v="5"/>
    <n v="19"/>
    <n v="19.41"/>
    <n v="368.79"/>
  </r>
  <r>
    <x v="20"/>
    <x v="2"/>
    <x v="6"/>
    <x v="7"/>
    <n v="33"/>
    <n v="21.6"/>
    <n v="712.80000000000007"/>
  </r>
  <r>
    <x v="136"/>
    <x v="2"/>
    <x v="6"/>
    <x v="0"/>
    <n v="46"/>
    <n v="22.45"/>
    <n v="1032.7"/>
  </r>
  <r>
    <x v="254"/>
    <x v="6"/>
    <x v="8"/>
    <x v="0"/>
    <n v="24"/>
    <n v="25.24"/>
    <n v="605.76"/>
  </r>
  <r>
    <x v="60"/>
    <x v="1"/>
    <x v="7"/>
    <x v="1"/>
    <n v="44"/>
    <n v="7.58"/>
    <n v="333.52"/>
  </r>
  <r>
    <x v="255"/>
    <x v="5"/>
    <x v="2"/>
    <x v="6"/>
    <n v="3"/>
    <n v="20.76"/>
    <n v="62.28"/>
  </r>
  <r>
    <x v="207"/>
    <x v="4"/>
    <x v="8"/>
    <x v="4"/>
    <n v="28"/>
    <n v="25.77"/>
    <n v="721.56"/>
  </r>
  <r>
    <x v="84"/>
    <x v="7"/>
    <x v="6"/>
    <x v="6"/>
    <n v="49"/>
    <n v="8.56"/>
    <n v="419.44"/>
  </r>
  <r>
    <x v="102"/>
    <x v="0"/>
    <x v="6"/>
    <x v="9"/>
    <n v="18"/>
    <n v="4.41"/>
    <n v="79.38"/>
  </r>
  <r>
    <x v="256"/>
    <x v="3"/>
    <x v="5"/>
    <x v="8"/>
    <n v="9"/>
    <n v="14.22"/>
    <n v="127.98"/>
  </r>
  <r>
    <x v="12"/>
    <x v="0"/>
    <x v="9"/>
    <x v="8"/>
    <n v="8"/>
    <n v="11.72"/>
    <n v="93.76"/>
  </r>
  <r>
    <x v="228"/>
    <x v="5"/>
    <x v="3"/>
    <x v="7"/>
    <n v="41"/>
    <n v="13.14"/>
    <n v="538.74"/>
  </r>
  <r>
    <x v="253"/>
    <x v="9"/>
    <x v="7"/>
    <x v="6"/>
    <n v="6"/>
    <n v="23.08"/>
    <n v="138.47999999999999"/>
  </r>
  <r>
    <x v="61"/>
    <x v="4"/>
    <x v="5"/>
    <x v="0"/>
    <n v="35"/>
    <n v="11.9"/>
    <n v="4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18:L30" firstHeaderRow="1" firstDataRow="2" firstDataCol="1"/>
  <pivotFields count="7">
    <pivotField numFmtId="14" showAll="0">
      <items count="15">
        <item x="0"/>
        <item x="1"/>
        <item x="2"/>
        <item x="3"/>
        <item x="4"/>
        <item x="5"/>
        <item x="6"/>
        <item x="7"/>
        <item x="8"/>
        <item x="9"/>
        <item x="10"/>
        <item x="11"/>
        <item x="12"/>
        <item x="13"/>
        <item t="default"/>
      </items>
    </pivotField>
    <pivotField axis="axisRow" showAll="0">
      <items count="11">
        <item x="9"/>
        <item x="3"/>
        <item x="5"/>
        <item x="0"/>
        <item x="7"/>
        <item x="8"/>
        <item x="6"/>
        <item x="1"/>
        <item x="2"/>
        <item x="4"/>
        <item t="default"/>
      </items>
    </pivotField>
    <pivotField axis="axisCol" showAll="0">
      <items count="11">
        <item x="1"/>
        <item x="0"/>
        <item x="4"/>
        <item x="6"/>
        <item x="8"/>
        <item x="2"/>
        <item x="3"/>
        <item x="9"/>
        <item x="7"/>
        <item x="5"/>
        <item t="default"/>
      </items>
    </pivotField>
    <pivotField showAll="0">
      <items count="11">
        <item x="6"/>
        <item x="4"/>
        <item x="5"/>
        <item x="3"/>
        <item x="8"/>
        <item x="2"/>
        <item x="7"/>
        <item x="1"/>
        <item x="0"/>
        <item x="9"/>
        <item t="default"/>
      </items>
    </pivotField>
    <pivotField showAll="0"/>
    <pivotField numFmtId="164" showAll="0"/>
    <pivotField dataField="1" numFmtId="164" showAll="0"/>
  </pivotFields>
  <rowFields count="1">
    <field x="1"/>
  </rowFields>
  <rowItems count="11">
    <i>
      <x/>
    </i>
    <i>
      <x v="1"/>
    </i>
    <i>
      <x v="2"/>
    </i>
    <i>
      <x v="3"/>
    </i>
    <i>
      <x v="4"/>
    </i>
    <i>
      <x v="5"/>
    </i>
    <i>
      <x v="6"/>
    </i>
    <i>
      <x v="7"/>
    </i>
    <i>
      <x v="8"/>
    </i>
    <i>
      <x v="9"/>
    </i>
    <i t="grand">
      <x/>
    </i>
  </rowItems>
  <colFields count="1">
    <field x="2"/>
  </colFields>
  <colItems count="11">
    <i>
      <x/>
    </i>
    <i>
      <x v="1"/>
    </i>
    <i>
      <x v="2"/>
    </i>
    <i>
      <x v="3"/>
    </i>
    <i>
      <x v="4"/>
    </i>
    <i>
      <x v="5"/>
    </i>
    <i>
      <x v="6"/>
    </i>
    <i>
      <x v="7"/>
    </i>
    <i>
      <x v="8"/>
    </i>
    <i>
      <x v="9"/>
    </i>
    <i t="grand">
      <x/>
    </i>
  </colItems>
  <dataFields count="1">
    <dataField name="Sum of Total Sales" fld="6" baseField="0" baseItem="0"/>
  </dataFields>
  <chartFormats count="30">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9" format="4" series="1">
      <pivotArea type="data" outline="0" fieldPosition="0">
        <references count="2">
          <reference field="4294967294" count="1" selected="0">
            <x v="0"/>
          </reference>
          <reference field="2" count="1" selected="0">
            <x v="4"/>
          </reference>
        </references>
      </pivotArea>
    </chartFormat>
    <chartFormat chart="9" format="5" series="1">
      <pivotArea type="data" outline="0" fieldPosition="0">
        <references count="2">
          <reference field="4294967294" count="1" selected="0">
            <x v="0"/>
          </reference>
          <reference field="2" count="1" selected="0">
            <x v="5"/>
          </reference>
        </references>
      </pivotArea>
    </chartFormat>
    <chartFormat chart="9" format="6" series="1">
      <pivotArea type="data" outline="0" fieldPosition="0">
        <references count="2">
          <reference field="4294967294" count="1" selected="0">
            <x v="0"/>
          </reference>
          <reference field="2" count="1" selected="0">
            <x v="6"/>
          </reference>
        </references>
      </pivotArea>
    </chartFormat>
    <chartFormat chart="9" format="7" series="1">
      <pivotArea type="data" outline="0" fieldPosition="0">
        <references count="2">
          <reference field="4294967294" count="1" selected="0">
            <x v="0"/>
          </reference>
          <reference field="2" count="1" selected="0">
            <x v="7"/>
          </reference>
        </references>
      </pivotArea>
    </chartFormat>
    <chartFormat chart="9" format="8" series="1">
      <pivotArea type="data" outline="0" fieldPosition="0">
        <references count="2">
          <reference field="4294967294" count="1" selected="0">
            <x v="0"/>
          </reference>
          <reference field="2" count="1" selected="0">
            <x v="8"/>
          </reference>
        </references>
      </pivotArea>
    </chartFormat>
    <chartFormat chart="9" format="9" series="1">
      <pivotArea type="data" outline="0" fieldPosition="0">
        <references count="2">
          <reference field="4294967294" count="1" selected="0">
            <x v="0"/>
          </reference>
          <reference field="2" count="1" selected="0">
            <x v="9"/>
          </reference>
        </references>
      </pivotArea>
    </chartFormat>
    <chartFormat chart="11" format="10" series="1">
      <pivotArea type="data" outline="0" fieldPosition="0">
        <references count="2">
          <reference field="4294967294" count="1" selected="0">
            <x v="0"/>
          </reference>
          <reference field="2" count="1" selected="0">
            <x v="0"/>
          </reference>
        </references>
      </pivotArea>
    </chartFormat>
    <chartFormat chart="11" format="11" series="1">
      <pivotArea type="data" outline="0" fieldPosition="0">
        <references count="2">
          <reference field="4294967294" count="1" selected="0">
            <x v="0"/>
          </reference>
          <reference field="2" count="1" selected="0">
            <x v="1"/>
          </reference>
        </references>
      </pivotArea>
    </chartFormat>
    <chartFormat chart="11" format="12" series="1">
      <pivotArea type="data" outline="0" fieldPosition="0">
        <references count="2">
          <reference field="4294967294" count="1" selected="0">
            <x v="0"/>
          </reference>
          <reference field="2" count="1" selected="0">
            <x v="2"/>
          </reference>
        </references>
      </pivotArea>
    </chartFormat>
    <chartFormat chart="11" format="13" series="1">
      <pivotArea type="data" outline="0" fieldPosition="0">
        <references count="2">
          <reference field="4294967294" count="1" selected="0">
            <x v="0"/>
          </reference>
          <reference field="2" count="1" selected="0">
            <x v="3"/>
          </reference>
        </references>
      </pivotArea>
    </chartFormat>
    <chartFormat chart="11" format="14" series="1">
      <pivotArea type="data" outline="0" fieldPosition="0">
        <references count="2">
          <reference field="4294967294" count="1" selected="0">
            <x v="0"/>
          </reference>
          <reference field="2" count="1" selected="0">
            <x v="4"/>
          </reference>
        </references>
      </pivotArea>
    </chartFormat>
    <chartFormat chart="11" format="15" series="1">
      <pivotArea type="data" outline="0" fieldPosition="0">
        <references count="2">
          <reference field="4294967294" count="1" selected="0">
            <x v="0"/>
          </reference>
          <reference field="2" count="1" selected="0">
            <x v="5"/>
          </reference>
        </references>
      </pivotArea>
    </chartFormat>
    <chartFormat chart="11" format="16" series="1">
      <pivotArea type="data" outline="0" fieldPosition="0">
        <references count="2">
          <reference field="4294967294" count="1" selected="0">
            <x v="0"/>
          </reference>
          <reference field="2" count="1" selected="0">
            <x v="6"/>
          </reference>
        </references>
      </pivotArea>
    </chartFormat>
    <chartFormat chart="11" format="17" series="1">
      <pivotArea type="data" outline="0" fieldPosition="0">
        <references count="2">
          <reference field="4294967294" count="1" selected="0">
            <x v="0"/>
          </reference>
          <reference field="2" count="1" selected="0">
            <x v="7"/>
          </reference>
        </references>
      </pivotArea>
    </chartFormat>
    <chartFormat chart="11" format="18" series="1">
      <pivotArea type="data" outline="0" fieldPosition="0">
        <references count="2">
          <reference field="4294967294" count="1" selected="0">
            <x v="0"/>
          </reference>
          <reference field="2" count="1" selected="0">
            <x v="8"/>
          </reference>
        </references>
      </pivotArea>
    </chartFormat>
    <chartFormat chart="11" format="19" series="1">
      <pivotArea type="data" outline="0" fieldPosition="0">
        <references count="2">
          <reference field="4294967294" count="1" selected="0">
            <x v="0"/>
          </reference>
          <reference field="2" count="1" selected="0">
            <x v="9"/>
          </reference>
        </references>
      </pivotArea>
    </chartFormat>
    <chartFormat chart="12" format="20" series="1">
      <pivotArea type="data" outline="0" fieldPosition="0">
        <references count="2">
          <reference field="4294967294" count="1" selected="0">
            <x v="0"/>
          </reference>
          <reference field="2" count="1" selected="0">
            <x v="0"/>
          </reference>
        </references>
      </pivotArea>
    </chartFormat>
    <chartFormat chart="12" format="21" series="1">
      <pivotArea type="data" outline="0" fieldPosition="0">
        <references count="2">
          <reference field="4294967294" count="1" selected="0">
            <x v="0"/>
          </reference>
          <reference field="2" count="1" selected="0">
            <x v="1"/>
          </reference>
        </references>
      </pivotArea>
    </chartFormat>
    <chartFormat chart="12" format="22" series="1">
      <pivotArea type="data" outline="0" fieldPosition="0">
        <references count="2">
          <reference field="4294967294" count="1" selected="0">
            <x v="0"/>
          </reference>
          <reference field="2" count="1" selected="0">
            <x v="2"/>
          </reference>
        </references>
      </pivotArea>
    </chartFormat>
    <chartFormat chart="12" format="23" series="1">
      <pivotArea type="data" outline="0" fieldPosition="0">
        <references count="2">
          <reference field="4294967294" count="1" selected="0">
            <x v="0"/>
          </reference>
          <reference field="2" count="1" selected="0">
            <x v="3"/>
          </reference>
        </references>
      </pivotArea>
    </chartFormat>
    <chartFormat chart="12" format="24" series="1">
      <pivotArea type="data" outline="0" fieldPosition="0">
        <references count="2">
          <reference field="4294967294" count="1" selected="0">
            <x v="0"/>
          </reference>
          <reference field="2" count="1" selected="0">
            <x v="4"/>
          </reference>
        </references>
      </pivotArea>
    </chartFormat>
    <chartFormat chart="12" format="25" series="1">
      <pivotArea type="data" outline="0" fieldPosition="0">
        <references count="2">
          <reference field="4294967294" count="1" selected="0">
            <x v="0"/>
          </reference>
          <reference field="2" count="1" selected="0">
            <x v="5"/>
          </reference>
        </references>
      </pivotArea>
    </chartFormat>
    <chartFormat chart="12" format="26" series="1">
      <pivotArea type="data" outline="0" fieldPosition="0">
        <references count="2">
          <reference field="4294967294" count="1" selected="0">
            <x v="0"/>
          </reference>
          <reference field="2" count="1" selected="0">
            <x v="6"/>
          </reference>
        </references>
      </pivotArea>
    </chartFormat>
    <chartFormat chart="12" format="27" series="1">
      <pivotArea type="data" outline="0" fieldPosition="0">
        <references count="2">
          <reference field="4294967294" count="1" selected="0">
            <x v="0"/>
          </reference>
          <reference field="2" count="1" selected="0">
            <x v="7"/>
          </reference>
        </references>
      </pivotArea>
    </chartFormat>
    <chartFormat chart="12" format="28" series="1">
      <pivotArea type="data" outline="0" fieldPosition="0">
        <references count="2">
          <reference field="4294967294" count="1" selected="0">
            <x v="0"/>
          </reference>
          <reference field="2" count="1" selected="0">
            <x v="8"/>
          </reference>
        </references>
      </pivotArea>
    </chartFormat>
    <chartFormat chart="12" format="29"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G3:H14" firstHeaderRow="1" firstDataRow="1" firstDataCol="1"/>
  <pivotFields count="7">
    <pivotField numFmtId="14" showAll="0">
      <items count="15">
        <item x="0"/>
        <item x="1"/>
        <item x="2"/>
        <item x="3"/>
        <item x="4"/>
        <item x="5"/>
        <item x="6"/>
        <item x="7"/>
        <item x="8"/>
        <item x="9"/>
        <item x="10"/>
        <item x="11"/>
        <item x="12"/>
        <item x="13"/>
        <item t="default"/>
      </items>
    </pivotField>
    <pivotField axis="axisRow" showAll="0">
      <items count="11">
        <item x="9"/>
        <item x="3"/>
        <item x="5"/>
        <item x="0"/>
        <item x="7"/>
        <item x="8"/>
        <item x="6"/>
        <item x="1"/>
        <item x="2"/>
        <item x="4"/>
        <item t="default"/>
      </items>
    </pivotField>
    <pivotField showAll="0">
      <items count="11">
        <item x="1"/>
        <item x="0"/>
        <item x="4"/>
        <item x="6"/>
        <item x="8"/>
        <item x="2"/>
        <item x="3"/>
        <item x="9"/>
        <item x="7"/>
        <item x="5"/>
        <item t="default"/>
      </items>
    </pivotField>
    <pivotField showAll="0">
      <items count="11">
        <item x="6"/>
        <item x="4"/>
        <item x="5"/>
        <item x="3"/>
        <item x="8"/>
        <item x="2"/>
        <item x="7"/>
        <item x="1"/>
        <item x="0"/>
        <item x="9"/>
        <item t="default"/>
      </items>
    </pivotField>
    <pivotField showAll="0"/>
    <pivotField numFmtId="164" showAll="0"/>
    <pivotField dataField="1" numFmtId="164" showAll="0"/>
  </pivotFields>
  <rowFields count="1">
    <field x="1"/>
  </rowFields>
  <rowItems count="11">
    <i>
      <x/>
    </i>
    <i>
      <x v="1"/>
    </i>
    <i>
      <x v="2"/>
    </i>
    <i>
      <x v="3"/>
    </i>
    <i>
      <x v="4"/>
    </i>
    <i>
      <x v="5"/>
    </i>
    <i>
      <x v="6"/>
    </i>
    <i>
      <x v="7"/>
    </i>
    <i>
      <x v="8"/>
    </i>
    <i>
      <x v="9"/>
    </i>
    <i t="grand">
      <x/>
    </i>
  </rowItems>
  <colItems count="1">
    <i/>
  </colItems>
  <dataFields count="1">
    <dataField name="Sum of Total Sales" fld="6" baseField="0" baseItem="0" numFmtId="165"/>
  </dataFields>
  <chartFormats count="1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9"/>
          </reference>
        </references>
      </pivotArea>
    </chartFormat>
    <chartFormat chart="8" format="4">
      <pivotArea type="data" outline="0" fieldPosition="0">
        <references count="2">
          <reference field="4294967294" count="1" selected="0">
            <x v="0"/>
          </reference>
          <reference field="1" count="1" selected="0">
            <x v="8"/>
          </reference>
        </references>
      </pivotArea>
    </chartFormat>
    <chartFormat chart="8" format="5">
      <pivotArea type="data" outline="0" fieldPosition="0">
        <references count="2">
          <reference field="4294967294" count="1" selected="0">
            <x v="0"/>
          </reference>
          <reference field="1" count="1" selected="0">
            <x v="7"/>
          </reference>
        </references>
      </pivotArea>
    </chartFormat>
    <chartFormat chart="8" format="6">
      <pivotArea type="data" outline="0" fieldPosition="0">
        <references count="2">
          <reference field="4294967294" count="1" selected="0">
            <x v="0"/>
          </reference>
          <reference field="1" count="1" selected="0">
            <x v="6"/>
          </reference>
        </references>
      </pivotArea>
    </chartFormat>
    <chartFormat chart="8" format="7">
      <pivotArea type="data" outline="0" fieldPosition="0">
        <references count="2">
          <reference field="4294967294" count="1" selected="0">
            <x v="0"/>
          </reference>
          <reference field="1" count="1" selected="0">
            <x v="5"/>
          </reference>
        </references>
      </pivotArea>
    </chartFormat>
    <chartFormat chart="8" format="8">
      <pivotArea type="data" outline="0" fieldPosition="0">
        <references count="2">
          <reference field="4294967294" count="1" selected="0">
            <x v="0"/>
          </reference>
          <reference field="1" count="1" selected="0">
            <x v="4"/>
          </reference>
        </references>
      </pivotArea>
    </chartFormat>
    <chartFormat chart="8" format="9">
      <pivotArea type="data" outline="0" fieldPosition="0">
        <references count="2">
          <reference field="4294967294" count="1" selected="0">
            <x v="0"/>
          </reference>
          <reference field="1" count="1" selected="0">
            <x v="3"/>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 chart="8" format="12">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D3:E14" firstHeaderRow="1" firstDataRow="1" firstDataCol="1" rowPageCount="1" colPageCount="1"/>
  <pivotFields count="7">
    <pivotField axis="axisPage" numFmtId="14" showAll="0">
      <items count="15">
        <item x="0"/>
        <item x="1"/>
        <item x="2"/>
        <item x="3"/>
        <item x="4"/>
        <item x="5"/>
        <item x="6"/>
        <item x="7"/>
        <item x="8"/>
        <item x="9"/>
        <item x="10"/>
        <item x="11"/>
        <item x="12"/>
        <item x="13"/>
        <item t="default"/>
      </items>
    </pivotField>
    <pivotField showAll="0">
      <items count="11">
        <item x="9"/>
        <item x="3"/>
        <item x="5"/>
        <item x="0"/>
        <item x="7"/>
        <item x="8"/>
        <item x="6"/>
        <item x="1"/>
        <item x="2"/>
        <item x="4"/>
        <item t="default"/>
      </items>
    </pivotField>
    <pivotField showAll="0">
      <items count="11">
        <item x="1"/>
        <item x="0"/>
        <item x="4"/>
        <item x="6"/>
        <item x="8"/>
        <item x="2"/>
        <item x="3"/>
        <item x="9"/>
        <item x="7"/>
        <item x="5"/>
        <item t="default"/>
      </items>
    </pivotField>
    <pivotField axis="axisRow" showAll="0">
      <items count="11">
        <item x="6"/>
        <item x="4"/>
        <item x="5"/>
        <item x="3"/>
        <item x="8"/>
        <item x="2"/>
        <item x="7"/>
        <item x="1"/>
        <item x="0"/>
        <item x="9"/>
        <item t="default"/>
      </items>
    </pivotField>
    <pivotField showAll="0"/>
    <pivotField numFmtId="164" showAll="0"/>
    <pivotField dataField="1" numFmtId="164" showAll="0"/>
  </pivotFields>
  <rowFields count="1">
    <field x="3"/>
  </rowFields>
  <rowItems count="11">
    <i>
      <x/>
    </i>
    <i>
      <x v="1"/>
    </i>
    <i>
      <x v="2"/>
    </i>
    <i>
      <x v="3"/>
    </i>
    <i>
      <x v="4"/>
    </i>
    <i>
      <x v="5"/>
    </i>
    <i>
      <x v="6"/>
    </i>
    <i>
      <x v="7"/>
    </i>
    <i>
      <x v="8"/>
    </i>
    <i>
      <x v="9"/>
    </i>
    <i t="grand">
      <x/>
    </i>
  </rowItems>
  <colItems count="1">
    <i/>
  </colItems>
  <pageFields count="1">
    <pageField fld="0" hier="-1"/>
  </pageFields>
  <dataFields count="1">
    <dataField name="Sum of Total Sales" fld="6" baseField="0" baseItem="0" numFmtId="165"/>
  </dataFields>
  <chartFormats count="11">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pivotArea type="data" outline="0" fieldPosition="0">
        <references count="2">
          <reference field="4294967294" count="1" selected="0">
            <x v="0"/>
          </reference>
          <reference field="3" count="1" selected="0">
            <x v="2"/>
          </reference>
        </references>
      </pivotArea>
    </chartFormat>
    <chartFormat chart="7" format="16">
      <pivotArea type="data" outline="0" fieldPosition="0">
        <references count="2">
          <reference field="4294967294" count="1" selected="0">
            <x v="0"/>
          </reference>
          <reference field="3" count="1" selected="0">
            <x v="3"/>
          </reference>
        </references>
      </pivotArea>
    </chartFormat>
    <chartFormat chart="7" format="17">
      <pivotArea type="data" outline="0" fieldPosition="0">
        <references count="2">
          <reference field="4294967294" count="1" selected="0">
            <x v="0"/>
          </reference>
          <reference field="3" count="1" selected="0">
            <x v="4"/>
          </reference>
        </references>
      </pivotArea>
    </chartFormat>
    <chartFormat chart="7" format="18">
      <pivotArea type="data" outline="0" fieldPosition="0">
        <references count="2">
          <reference field="4294967294" count="1" selected="0">
            <x v="0"/>
          </reference>
          <reference field="3" count="1" selected="0">
            <x v="5"/>
          </reference>
        </references>
      </pivotArea>
    </chartFormat>
    <chartFormat chart="7" format="19">
      <pivotArea type="data" outline="0" fieldPosition="0">
        <references count="2">
          <reference field="4294967294" count="1" selected="0">
            <x v="0"/>
          </reference>
          <reference field="3" count="1" selected="0">
            <x v="6"/>
          </reference>
        </references>
      </pivotArea>
    </chartFormat>
    <chartFormat chart="7" format="20">
      <pivotArea type="data" outline="0" fieldPosition="0">
        <references count="2">
          <reference field="4294967294" count="1" selected="0">
            <x v="0"/>
          </reference>
          <reference field="3" count="1" selected="0">
            <x v="7"/>
          </reference>
        </references>
      </pivotArea>
    </chartFormat>
    <chartFormat chart="7" format="21">
      <pivotArea type="data" outline="0" fieldPosition="0">
        <references count="2">
          <reference field="4294967294" count="1" selected="0">
            <x v="0"/>
          </reference>
          <reference field="3" count="1" selected="0">
            <x v="8"/>
          </reference>
        </references>
      </pivotArea>
    </chartFormat>
    <chartFormat chart="7" format="22">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6" firstHeaderRow="1" firstDataRow="1" firstDataCol="1"/>
  <pivotFields count="7">
    <pivotField axis="axisRow" numFmtId="14" showAll="0">
      <items count="15">
        <item x="0"/>
        <item x="1"/>
        <item x="2"/>
        <item x="3"/>
        <item x="4"/>
        <item x="5"/>
        <item x="6"/>
        <item x="7"/>
        <item x="8"/>
        <item x="9"/>
        <item x="10"/>
        <item x="11"/>
        <item x="12"/>
        <item x="13"/>
        <item t="default"/>
      </items>
    </pivotField>
    <pivotField showAll="0">
      <items count="11">
        <item x="9"/>
        <item x="3"/>
        <item x="5"/>
        <item x="0"/>
        <item x="7"/>
        <item x="8"/>
        <item x="6"/>
        <item x="1"/>
        <item x="2"/>
        <item x="4"/>
        <item t="default"/>
      </items>
    </pivotField>
    <pivotField showAll="0">
      <items count="11">
        <item x="1"/>
        <item x="0"/>
        <item x="4"/>
        <item x="6"/>
        <item x="8"/>
        <item x="2"/>
        <item x="3"/>
        <item x="9"/>
        <item x="7"/>
        <item x="5"/>
        <item t="default"/>
      </items>
    </pivotField>
    <pivotField showAll="0">
      <items count="11">
        <item x="6"/>
        <item x="4"/>
        <item x="5"/>
        <item x="3"/>
        <item x="8"/>
        <item x="2"/>
        <item x="7"/>
        <item x="1"/>
        <item x="0"/>
        <item x="9"/>
        <item t="default"/>
      </items>
    </pivotField>
    <pivotField showAll="0"/>
    <pivotField numFmtId="164" showAll="0"/>
    <pivotField dataField="1" numFmtId="164" showAll="0"/>
  </pivotFields>
  <rowFields count="1">
    <field x="0"/>
  </rowFields>
  <rowItems count="13">
    <i>
      <x v="1"/>
    </i>
    <i>
      <x v="2"/>
    </i>
    <i>
      <x v="3"/>
    </i>
    <i>
      <x v="4"/>
    </i>
    <i>
      <x v="5"/>
    </i>
    <i>
      <x v="6"/>
    </i>
    <i>
      <x v="7"/>
    </i>
    <i>
      <x v="8"/>
    </i>
    <i>
      <x v="9"/>
    </i>
    <i>
      <x v="10"/>
    </i>
    <i>
      <x v="11"/>
    </i>
    <i>
      <x v="12"/>
    </i>
    <i t="grand">
      <x/>
    </i>
  </rowItems>
  <colItems count="1">
    <i/>
  </colItems>
  <dataFields count="1">
    <dataField name="Sum of Total Sales" fld="6"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ore" sourceName="Store">
  <pivotTables>
    <pivotTable tabId="3" name="PivotTable2"/>
    <pivotTable tabId="3" name="PivotTable3"/>
    <pivotTable tabId="3" name="PivotTable4"/>
    <pivotTable tabId="3" name="PivotTable6"/>
  </pivotTables>
  <data>
    <tabular pivotCacheId="1">
      <items count="10">
        <i x="9" s="1"/>
        <i x="3" s="1"/>
        <i x="5" s="1"/>
        <i x="0" s="1"/>
        <i x="7" s="1"/>
        <i x="8" s="1"/>
        <i x="6"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3" name="PivotTable2"/>
    <pivotTable tabId="3" name="PivotTable3"/>
    <pivotTable tabId="3" name="PivotTable4"/>
    <pivotTable tabId="3" name="PivotTable6"/>
  </pivotTables>
  <data>
    <tabular pivotCacheId="1">
      <items count="10">
        <i x="1" s="1"/>
        <i x="0" s="1"/>
        <i x="4" s="1"/>
        <i x="6" s="1"/>
        <i x="8" s="1"/>
        <i x="2" s="1"/>
        <i x="3" s="1"/>
        <i x="9"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2"/>
    <pivotTable tabId="3" name="PivotTable3"/>
    <pivotTable tabId="3" name="PivotTable4"/>
    <pivotTable tabId="3" name="PivotTable6"/>
  </pivotTables>
  <data>
    <tabular pivotCacheId="1">
      <items count="10">
        <i x="6" s="1"/>
        <i x="4" s="1"/>
        <i x="5" s="1"/>
        <i x="3" s="1"/>
        <i x="8" s="1"/>
        <i x="2" s="1"/>
        <i x="7" s="1"/>
        <i x="1" s="1"/>
        <i x="0"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3" name="PivotTable2"/>
    <pivotTable tabId="3" name="PivotTable3"/>
    <pivotTable tabId="3" name="PivotTable4"/>
    <pivotTable tabId="3" name="PivotTable6"/>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ore" cache="Slicer_Store" caption="Store" columnCount="4" rowHeight="241300"/>
  <slicer name="SalesPerson" cache="Slicer_SalesPerson" caption="SalesPerson" columnCount="4" rowHeight="241300"/>
  <slicer name="Product" cache="Slicer_Product" caption="Product" columnCount="4" rowHeight="241300"/>
  <slicer name="Date" cache="Slicer_Date" cap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election activeCell="P21" sqref="P21"/>
    </sheetView>
  </sheetViews>
  <sheetFormatPr defaultRowHeight="15" x14ac:dyDescent="0.25"/>
  <cols>
    <col min="1" max="1" width="17.28515625" customWidth="1"/>
    <col min="2" max="2" width="16.28515625" customWidth="1"/>
    <col min="3" max="4" width="9" customWidth="1"/>
    <col min="5" max="5" width="13.5703125" customWidth="1"/>
    <col min="6" max="7" width="9" customWidth="1"/>
    <col min="8" max="8" width="17" customWidth="1"/>
    <col min="9" max="11" width="9" customWidth="1"/>
    <col min="12" max="12" width="11.28515625" bestFit="1" customWidth="1"/>
  </cols>
  <sheetData>
    <row r="1" spans="1:8" x14ac:dyDescent="0.25">
      <c r="D1" s="3" t="s">
        <v>0</v>
      </c>
      <c r="E1" t="s">
        <v>32</v>
      </c>
    </row>
    <row r="3" spans="1:8" x14ac:dyDescent="0.25">
      <c r="A3" s="3" t="s">
        <v>7</v>
      </c>
      <c r="B3" t="s">
        <v>9</v>
      </c>
      <c r="D3" s="3" t="s">
        <v>7</v>
      </c>
      <c r="E3" t="s">
        <v>9</v>
      </c>
      <c r="G3" s="3" t="s">
        <v>7</v>
      </c>
      <c r="H3" t="s">
        <v>9</v>
      </c>
    </row>
    <row r="4" spans="1:8" x14ac:dyDescent="0.25">
      <c r="A4" s="4" t="s">
        <v>10</v>
      </c>
      <c r="B4" s="6">
        <v>18768.570000000003</v>
      </c>
      <c r="D4" s="7" t="s">
        <v>22</v>
      </c>
      <c r="E4" s="6">
        <v>18643.52</v>
      </c>
      <c r="G4" s="7" t="s">
        <v>33</v>
      </c>
      <c r="H4" s="6">
        <v>16578.249999999996</v>
      </c>
    </row>
    <row r="5" spans="1:8" x14ac:dyDescent="0.25">
      <c r="A5" s="4" t="s">
        <v>11</v>
      </c>
      <c r="B5" s="6">
        <v>14210.63</v>
      </c>
      <c r="D5" s="7" t="s">
        <v>23</v>
      </c>
      <c r="E5" s="6">
        <v>25048.17</v>
      </c>
      <c r="G5" s="7" t="s">
        <v>34</v>
      </c>
      <c r="H5" s="6">
        <v>15236.150000000003</v>
      </c>
    </row>
    <row r="6" spans="1:8" x14ac:dyDescent="0.25">
      <c r="A6" s="4" t="s">
        <v>12</v>
      </c>
      <c r="B6" s="6">
        <v>15259.43</v>
      </c>
      <c r="D6" s="7" t="s">
        <v>24</v>
      </c>
      <c r="E6" s="6">
        <v>15030.360000000002</v>
      </c>
      <c r="G6" s="7" t="s">
        <v>35</v>
      </c>
      <c r="H6" s="6">
        <v>19345.159999999996</v>
      </c>
    </row>
    <row r="7" spans="1:8" x14ac:dyDescent="0.25">
      <c r="A7" s="4" t="s">
        <v>13</v>
      </c>
      <c r="B7" s="6">
        <v>21762.709999999995</v>
      </c>
      <c r="D7" s="7" t="s">
        <v>25</v>
      </c>
      <c r="E7" s="6">
        <v>11904.890000000003</v>
      </c>
      <c r="G7" s="7" t="s">
        <v>36</v>
      </c>
      <c r="H7" s="6">
        <v>17214.429999999993</v>
      </c>
    </row>
    <row r="8" spans="1:8" x14ac:dyDescent="0.25">
      <c r="A8" s="4" t="s">
        <v>14</v>
      </c>
      <c r="B8" s="6">
        <v>15363.500000000002</v>
      </c>
      <c r="D8" s="7" t="s">
        <v>26</v>
      </c>
      <c r="E8" s="6">
        <v>17941.139999999989</v>
      </c>
      <c r="G8" s="7" t="s">
        <v>37</v>
      </c>
      <c r="H8" s="6">
        <v>19892.329999999991</v>
      </c>
    </row>
    <row r="9" spans="1:8" x14ac:dyDescent="0.25">
      <c r="A9" s="4" t="s">
        <v>15</v>
      </c>
      <c r="B9" s="6">
        <v>12331.509999999998</v>
      </c>
      <c r="D9" s="7" t="s">
        <v>27</v>
      </c>
      <c r="E9" s="6">
        <v>22592.820000000011</v>
      </c>
      <c r="G9" s="7" t="s">
        <v>38</v>
      </c>
      <c r="H9" s="6">
        <v>21182.320000000003</v>
      </c>
    </row>
    <row r="10" spans="1:8" x14ac:dyDescent="0.25">
      <c r="A10" s="4" t="s">
        <v>16</v>
      </c>
      <c r="B10" s="6">
        <v>17712.740000000002</v>
      </c>
      <c r="D10" s="7" t="s">
        <v>28</v>
      </c>
      <c r="E10" s="6">
        <v>21216.219999999998</v>
      </c>
      <c r="G10" s="7" t="s">
        <v>39</v>
      </c>
      <c r="H10" s="6">
        <v>22509.549999999992</v>
      </c>
    </row>
    <row r="11" spans="1:8" x14ac:dyDescent="0.25">
      <c r="A11" s="4" t="s">
        <v>17</v>
      </c>
      <c r="B11" s="6">
        <v>7309.3499999999995</v>
      </c>
      <c r="D11" s="7" t="s">
        <v>29</v>
      </c>
      <c r="E11" s="6">
        <v>17261.239999999991</v>
      </c>
      <c r="G11" s="7" t="s">
        <v>40</v>
      </c>
      <c r="H11" s="6">
        <v>24727.320000000003</v>
      </c>
    </row>
    <row r="12" spans="1:8" x14ac:dyDescent="0.25">
      <c r="A12" s="4" t="s">
        <v>18</v>
      </c>
      <c r="B12" s="6">
        <v>16816.009999999998</v>
      </c>
      <c r="D12" s="7" t="s">
        <v>30</v>
      </c>
      <c r="E12" s="6">
        <v>22840.43</v>
      </c>
      <c r="G12" s="7" t="s">
        <v>41</v>
      </c>
      <c r="H12" s="6">
        <v>13968.159999999998</v>
      </c>
    </row>
    <row r="13" spans="1:8" x14ac:dyDescent="0.25">
      <c r="A13" s="4" t="s">
        <v>19</v>
      </c>
      <c r="B13" s="6">
        <v>12964.829999999998</v>
      </c>
      <c r="D13" s="7" t="s">
        <v>31</v>
      </c>
      <c r="E13" s="6">
        <v>15767.769999999999</v>
      </c>
      <c r="G13" s="7" t="s">
        <v>42</v>
      </c>
      <c r="H13" s="6">
        <v>17592.890000000007</v>
      </c>
    </row>
    <row r="14" spans="1:8" x14ac:dyDescent="0.25">
      <c r="A14" s="4" t="s">
        <v>20</v>
      </c>
      <c r="B14" s="6">
        <v>18500.109999999997</v>
      </c>
      <c r="D14" s="7" t="s">
        <v>8</v>
      </c>
      <c r="E14" s="6">
        <v>188246.55999999997</v>
      </c>
      <c r="G14" s="7" t="s">
        <v>8</v>
      </c>
      <c r="H14" s="6">
        <v>188246.56</v>
      </c>
    </row>
    <row r="15" spans="1:8" x14ac:dyDescent="0.25">
      <c r="A15" s="4" t="s">
        <v>21</v>
      </c>
      <c r="B15" s="6">
        <v>17247.169999999995</v>
      </c>
    </row>
    <row r="16" spans="1:8" x14ac:dyDescent="0.25">
      <c r="A16" s="4" t="s">
        <v>8</v>
      </c>
      <c r="B16" s="6">
        <v>188246.55999999997</v>
      </c>
    </row>
    <row r="18" spans="1:12" x14ac:dyDescent="0.25">
      <c r="A18" s="3" t="s">
        <v>9</v>
      </c>
      <c r="B18" s="3" t="s">
        <v>53</v>
      </c>
    </row>
    <row r="19" spans="1:12" x14ac:dyDescent="0.25">
      <c r="A19" s="3" t="s">
        <v>7</v>
      </c>
      <c r="B19" t="s">
        <v>43</v>
      </c>
      <c r="C19" t="s">
        <v>44</v>
      </c>
      <c r="D19" t="s">
        <v>45</v>
      </c>
      <c r="E19" t="s">
        <v>46</v>
      </c>
      <c r="F19" t="s">
        <v>47</v>
      </c>
      <c r="G19" t="s">
        <v>48</v>
      </c>
      <c r="H19" t="s">
        <v>49</v>
      </c>
      <c r="I19" t="s">
        <v>50</v>
      </c>
      <c r="J19" t="s">
        <v>51</v>
      </c>
      <c r="K19" t="s">
        <v>52</v>
      </c>
      <c r="L19" t="s">
        <v>8</v>
      </c>
    </row>
    <row r="20" spans="1:12" x14ac:dyDescent="0.25">
      <c r="A20" s="7" t="s">
        <v>33</v>
      </c>
      <c r="B20" s="5">
        <v>1694.6000000000001</v>
      </c>
      <c r="C20" s="5">
        <v>2142.13</v>
      </c>
      <c r="D20" s="5">
        <v>3617.56</v>
      </c>
      <c r="E20" s="5">
        <v>147.65</v>
      </c>
      <c r="F20" s="5">
        <v>2178.9300000000003</v>
      </c>
      <c r="G20" s="5">
        <v>676.80000000000007</v>
      </c>
      <c r="H20" s="5">
        <v>1281.3499999999999</v>
      </c>
      <c r="I20" s="5">
        <v>1127.21</v>
      </c>
      <c r="J20" s="5">
        <v>2016.8600000000001</v>
      </c>
      <c r="K20" s="5">
        <v>1695.16</v>
      </c>
      <c r="L20" s="5">
        <v>16578.25</v>
      </c>
    </row>
    <row r="21" spans="1:12" x14ac:dyDescent="0.25">
      <c r="A21" s="7" t="s">
        <v>34</v>
      </c>
      <c r="B21" s="5">
        <v>1890.55</v>
      </c>
      <c r="C21" s="5"/>
      <c r="D21" s="5">
        <v>4611.8099999999995</v>
      </c>
      <c r="E21" s="5">
        <v>1233.54</v>
      </c>
      <c r="F21" s="5">
        <v>1258.68</v>
      </c>
      <c r="G21" s="5">
        <v>3155.23</v>
      </c>
      <c r="H21" s="5">
        <v>123.48999999999998</v>
      </c>
      <c r="I21" s="5">
        <v>188.63</v>
      </c>
      <c r="J21" s="5">
        <v>1207.5</v>
      </c>
      <c r="K21" s="5">
        <v>1566.72</v>
      </c>
      <c r="L21" s="5">
        <v>15236.149999999998</v>
      </c>
    </row>
    <row r="22" spans="1:12" x14ac:dyDescent="0.25">
      <c r="A22" s="7" t="s">
        <v>35</v>
      </c>
      <c r="B22" s="5">
        <v>570.98</v>
      </c>
      <c r="C22" s="5">
        <v>391.68</v>
      </c>
      <c r="D22" s="5">
        <v>1918.07</v>
      </c>
      <c r="E22" s="5">
        <v>3556.03</v>
      </c>
      <c r="F22" s="5">
        <v>2658.44</v>
      </c>
      <c r="G22" s="5">
        <v>2284.23</v>
      </c>
      <c r="H22" s="5">
        <v>3265.84</v>
      </c>
      <c r="I22" s="5">
        <v>1643.99</v>
      </c>
      <c r="J22" s="5">
        <v>1777.62</v>
      </c>
      <c r="K22" s="5">
        <v>1278.28</v>
      </c>
      <c r="L22" s="5">
        <v>19345.16</v>
      </c>
    </row>
    <row r="23" spans="1:12" x14ac:dyDescent="0.25">
      <c r="A23" s="7" t="s">
        <v>36</v>
      </c>
      <c r="B23" s="5">
        <v>1203.92</v>
      </c>
      <c r="C23" s="5">
        <v>3173.8800000000006</v>
      </c>
      <c r="D23" s="5">
        <v>1174.56</v>
      </c>
      <c r="E23" s="5">
        <v>2377.5300000000002</v>
      </c>
      <c r="F23" s="5">
        <v>2500.9299999999998</v>
      </c>
      <c r="G23" s="5">
        <v>917.85</v>
      </c>
      <c r="H23" s="5">
        <v>1816.8400000000001</v>
      </c>
      <c r="I23" s="5">
        <v>1730.91</v>
      </c>
      <c r="J23" s="5">
        <v>1629.76</v>
      </c>
      <c r="K23" s="5">
        <v>688.25</v>
      </c>
      <c r="L23" s="5">
        <v>17214.43</v>
      </c>
    </row>
    <row r="24" spans="1:12" x14ac:dyDescent="0.25">
      <c r="A24" s="7" t="s">
        <v>37</v>
      </c>
      <c r="B24" s="5">
        <v>1789.34</v>
      </c>
      <c r="C24" s="5">
        <v>2158.92</v>
      </c>
      <c r="D24" s="5">
        <v>2013.87</v>
      </c>
      <c r="E24" s="5">
        <v>704.14</v>
      </c>
      <c r="F24" s="5">
        <v>2615.9</v>
      </c>
      <c r="G24" s="5">
        <v>2042.5299999999997</v>
      </c>
      <c r="H24" s="5">
        <v>1711.48</v>
      </c>
      <c r="I24" s="5">
        <v>2256.58</v>
      </c>
      <c r="J24" s="5">
        <v>2103.8000000000002</v>
      </c>
      <c r="K24" s="5">
        <v>2495.7700000000004</v>
      </c>
      <c r="L24" s="5">
        <v>19892.330000000002</v>
      </c>
    </row>
    <row r="25" spans="1:12" x14ac:dyDescent="0.25">
      <c r="A25" s="7" t="s">
        <v>38</v>
      </c>
      <c r="B25" s="5">
        <v>1085.3000000000002</v>
      </c>
      <c r="C25" s="5">
        <v>5550.3200000000006</v>
      </c>
      <c r="D25" s="5">
        <v>1578.8999999999999</v>
      </c>
      <c r="E25" s="5">
        <v>1965.0099999999998</v>
      </c>
      <c r="F25" s="5">
        <v>1021.99</v>
      </c>
      <c r="G25" s="5">
        <v>1672.73</v>
      </c>
      <c r="H25" s="5">
        <v>4300.57</v>
      </c>
      <c r="I25" s="5">
        <v>1753.3500000000001</v>
      </c>
      <c r="J25" s="5">
        <v>595.84</v>
      </c>
      <c r="K25" s="5">
        <v>1658.31</v>
      </c>
      <c r="L25" s="5">
        <v>21182.32</v>
      </c>
    </row>
    <row r="26" spans="1:12" x14ac:dyDescent="0.25">
      <c r="A26" s="7" t="s">
        <v>39</v>
      </c>
      <c r="B26" s="5">
        <v>1330.8400000000001</v>
      </c>
      <c r="C26" s="5">
        <v>3772.5800000000004</v>
      </c>
      <c r="D26" s="5">
        <v>1837.6600000000003</v>
      </c>
      <c r="E26" s="5">
        <v>1233.8299999999997</v>
      </c>
      <c r="F26" s="5">
        <v>3444.7200000000003</v>
      </c>
      <c r="G26" s="5">
        <v>2685.3199999999997</v>
      </c>
      <c r="H26" s="5">
        <v>3689</v>
      </c>
      <c r="I26" s="5">
        <v>2417.48</v>
      </c>
      <c r="J26" s="5">
        <v>973.69</v>
      </c>
      <c r="K26" s="5">
        <v>1124.43</v>
      </c>
      <c r="L26" s="5">
        <v>22509.55</v>
      </c>
    </row>
    <row r="27" spans="1:12" x14ac:dyDescent="0.25">
      <c r="A27" s="7" t="s">
        <v>40</v>
      </c>
      <c r="B27" s="5">
        <v>2499.85</v>
      </c>
      <c r="C27" s="5">
        <v>3509.71</v>
      </c>
      <c r="D27" s="5">
        <v>1559.06</v>
      </c>
      <c r="E27" s="5">
        <v>2741.24</v>
      </c>
      <c r="F27" s="5">
        <v>2589.65</v>
      </c>
      <c r="G27" s="5">
        <v>4747.2999999999993</v>
      </c>
      <c r="H27" s="5">
        <v>1833.8000000000002</v>
      </c>
      <c r="I27" s="5">
        <v>1512.62</v>
      </c>
      <c r="J27" s="5">
        <v>2585.9299999999998</v>
      </c>
      <c r="K27" s="5">
        <v>1148.1600000000001</v>
      </c>
      <c r="L27" s="5">
        <v>24727.319999999996</v>
      </c>
    </row>
    <row r="28" spans="1:12" x14ac:dyDescent="0.25">
      <c r="A28" s="7" t="s">
        <v>41</v>
      </c>
      <c r="B28" s="5">
        <v>334.53</v>
      </c>
      <c r="C28" s="5">
        <v>1940.91</v>
      </c>
      <c r="D28" s="5">
        <v>819.14</v>
      </c>
      <c r="E28" s="5">
        <v>2979.3</v>
      </c>
      <c r="F28" s="5"/>
      <c r="G28" s="5">
        <v>3221.1699999999996</v>
      </c>
      <c r="H28" s="5">
        <v>1089.77</v>
      </c>
      <c r="I28" s="5">
        <v>961.62</v>
      </c>
      <c r="J28" s="5">
        <v>1660.57</v>
      </c>
      <c r="K28" s="5">
        <v>961.15</v>
      </c>
      <c r="L28" s="5">
        <v>13968.16</v>
      </c>
    </row>
    <row r="29" spans="1:12" x14ac:dyDescent="0.25">
      <c r="A29" s="7" t="s">
        <v>42</v>
      </c>
      <c r="B29" s="5">
        <v>1178.97</v>
      </c>
      <c r="C29" s="5">
        <v>437.58</v>
      </c>
      <c r="D29" s="5">
        <v>1981.3799999999999</v>
      </c>
      <c r="E29" s="5">
        <v>3100.8999999999996</v>
      </c>
      <c r="F29" s="5">
        <v>1659.48</v>
      </c>
      <c r="G29" s="5">
        <v>1769.11</v>
      </c>
      <c r="H29" s="5">
        <v>1752.3899999999999</v>
      </c>
      <c r="I29" s="5">
        <v>3034.86</v>
      </c>
      <c r="J29" s="5">
        <v>1098.54</v>
      </c>
      <c r="K29" s="5">
        <v>1579.68</v>
      </c>
      <c r="L29" s="5">
        <v>17592.89</v>
      </c>
    </row>
    <row r="30" spans="1:12" x14ac:dyDescent="0.25">
      <c r="A30" s="7" t="s">
        <v>8</v>
      </c>
      <c r="B30" s="5">
        <v>13578.880000000001</v>
      </c>
      <c r="C30" s="5">
        <v>23077.710000000003</v>
      </c>
      <c r="D30" s="5">
        <v>21112.010000000002</v>
      </c>
      <c r="E30" s="5">
        <v>20039.169999999998</v>
      </c>
      <c r="F30" s="5">
        <v>19928.72</v>
      </c>
      <c r="G30" s="5">
        <v>23172.269999999997</v>
      </c>
      <c r="H30" s="5">
        <v>20864.53</v>
      </c>
      <c r="I30" s="5">
        <v>16627.25</v>
      </c>
      <c r="J30" s="5">
        <v>15650.11</v>
      </c>
      <c r="K30" s="5">
        <v>14195.91</v>
      </c>
      <c r="L30" s="5">
        <v>188246.56</v>
      </c>
    </row>
  </sheetData>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J36" sqref="J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9"/>
  <sheetViews>
    <sheetView workbookViewId="0">
      <selection activeCell="A6" sqref="A1:G469"/>
    </sheetView>
  </sheetViews>
  <sheetFormatPr defaultRowHeight="15" x14ac:dyDescent="0.25"/>
  <cols>
    <col min="1" max="1" width="17.42578125" customWidth="1"/>
    <col min="2" max="2" width="11.85546875" customWidth="1"/>
    <col min="3" max="3" width="12.5703125" customWidth="1"/>
    <col min="5" max="5" width="19.28515625" customWidth="1"/>
    <col min="6" max="6" width="14.140625" customWidth="1"/>
    <col min="7" max="7" width="16" customWidth="1"/>
  </cols>
  <sheetData>
    <row r="1" spans="1:7" x14ac:dyDescent="0.25">
      <c r="A1" s="1" t="s">
        <v>0</v>
      </c>
      <c r="B1" t="s">
        <v>1</v>
      </c>
      <c r="C1" t="s">
        <v>2</v>
      </c>
      <c r="D1" t="s">
        <v>3</v>
      </c>
      <c r="E1" t="s">
        <v>4</v>
      </c>
      <c r="F1" t="s">
        <v>5</v>
      </c>
      <c r="G1" t="s">
        <v>6</v>
      </c>
    </row>
    <row r="2" spans="1:7" x14ac:dyDescent="0.25">
      <c r="A2" s="1">
        <f ca="1">RANDBETWEEN(DATE(2024,1,1),DATE(2024,12,31))</f>
        <v>45349</v>
      </c>
      <c r="B2" t="str">
        <f ca="1">CHOOSE(RANDBETWEEN(1,10),"Store A","Store B","Store C","Store D","Store E","Store F","Store G","Store H","Store I","Store J")</f>
        <v>Store J</v>
      </c>
      <c r="C2" t="str">
        <f ca="1">CHOOSE(RANDBETWEEN(1,10),"Rep A","Rep B","Rep C","Rep D","Rep E","Rep F","Rep G","Rep H","Rep I","Rep J")</f>
        <v>Rep D</v>
      </c>
      <c r="D2" t="str">
        <f ca="1">CHOOSE(RANDBETWEEN(1,10),"Product A","Product B","Product C","Product D","Product E","Product F","Product G","Product H","Product I","Product J")</f>
        <v>Product G</v>
      </c>
      <c r="E2">
        <f ca="1">RANDBETWEEN(1,50)</f>
        <v>38</v>
      </c>
      <c r="F2" s="2">
        <f ca="1">ROUND(2+28*RAND(),2)</f>
        <v>29.64</v>
      </c>
      <c r="G2" s="2">
        <f t="shared" ref="G2:G65" ca="1" si="0">E2*F2</f>
        <v>1126.32</v>
      </c>
    </row>
    <row r="3" spans="1:7" x14ac:dyDescent="0.25">
      <c r="A3" s="1">
        <f t="shared" ref="A3:A66" ca="1" si="1">RANDBETWEEN(DATE(2024,1,1),DATE(2024,12,31))</f>
        <v>45462</v>
      </c>
      <c r="B3" t="str">
        <f t="shared" ref="B3:B66" ca="1" si="2">CHOOSE(RANDBETWEEN(1,10),"Store A","Store B","Store C","Store D","Store E","Store F","Store G","Store H","Store I","Store J")</f>
        <v>Store H</v>
      </c>
      <c r="C3" t="str">
        <f t="shared" ref="C3:C66" ca="1" si="3">CHOOSE(RANDBETWEEN(1,10),"Rep A","Rep B","Rep C","Rep D","Rep E","Rep F","Rep G","Rep H","Rep I","Rep J")</f>
        <v>Rep I</v>
      </c>
      <c r="D3" t="str">
        <f t="shared" ref="D3:D66" ca="1" si="4">CHOOSE(RANDBETWEEN(1,10),"Product A","Product B","Product C","Product D","Product E","Product F","Product G","Product H","Product I","Product J")</f>
        <v>Product I</v>
      </c>
      <c r="E3">
        <f t="shared" ref="E3:E66" ca="1" si="5">RANDBETWEEN(1,50)</f>
        <v>37</v>
      </c>
      <c r="F3" s="2">
        <f t="shared" ref="F3:F66" ca="1" si="6">ROUND(2+28*RAND(),2)</f>
        <v>14.07</v>
      </c>
      <c r="G3" s="2">
        <f t="shared" ca="1" si="0"/>
        <v>520.59</v>
      </c>
    </row>
    <row r="4" spans="1:7" x14ac:dyDescent="0.25">
      <c r="A4" s="1">
        <f t="shared" ca="1" si="1"/>
        <v>45463</v>
      </c>
      <c r="B4" t="str">
        <f t="shared" ca="1" si="2"/>
        <v>Store I</v>
      </c>
      <c r="C4" t="str">
        <f t="shared" ca="1" si="3"/>
        <v>Rep E</v>
      </c>
      <c r="D4" t="str">
        <f t="shared" ca="1" si="4"/>
        <v>Product J</v>
      </c>
      <c r="E4">
        <f t="shared" ca="1" si="5"/>
        <v>31</v>
      </c>
      <c r="F4" s="2">
        <f t="shared" ca="1" si="6"/>
        <v>4.57</v>
      </c>
      <c r="G4" s="2">
        <f t="shared" ca="1" si="0"/>
        <v>141.67000000000002</v>
      </c>
    </row>
    <row r="5" spans="1:7" x14ac:dyDescent="0.25">
      <c r="A5" s="1">
        <f t="shared" ca="1" si="1"/>
        <v>45459</v>
      </c>
      <c r="B5" t="str">
        <f t="shared" ca="1" si="2"/>
        <v>Store H</v>
      </c>
      <c r="C5" t="str">
        <f t="shared" ca="1" si="3"/>
        <v>Rep G</v>
      </c>
      <c r="D5" t="str">
        <f t="shared" ca="1" si="4"/>
        <v>Product I</v>
      </c>
      <c r="E5">
        <f t="shared" ca="1" si="5"/>
        <v>34</v>
      </c>
      <c r="F5" s="2">
        <f t="shared" ca="1" si="6"/>
        <v>16.690000000000001</v>
      </c>
      <c r="G5" s="2">
        <f t="shared" ca="1" si="0"/>
        <v>567.46</v>
      </c>
    </row>
    <row r="6" spans="1:7" x14ac:dyDescent="0.25">
      <c r="A6" s="1">
        <f t="shared" ca="1" si="1"/>
        <v>45404</v>
      </c>
      <c r="B6" t="str">
        <f t="shared" ca="1" si="2"/>
        <v>Store D</v>
      </c>
      <c r="C6" t="str">
        <f t="shared" ca="1" si="3"/>
        <v>Rep B</v>
      </c>
      <c r="D6" t="str">
        <f t="shared" ca="1" si="4"/>
        <v>Product E</v>
      </c>
      <c r="E6">
        <f t="shared" ca="1" si="5"/>
        <v>26</v>
      </c>
      <c r="F6" s="2">
        <f t="shared" ca="1" si="6"/>
        <v>6.87</v>
      </c>
      <c r="G6" s="2">
        <f t="shared" ca="1" si="0"/>
        <v>178.62</v>
      </c>
    </row>
    <row r="7" spans="1:7" x14ac:dyDescent="0.25">
      <c r="A7" s="1">
        <f t="shared" ca="1" si="1"/>
        <v>45484</v>
      </c>
      <c r="B7" t="str">
        <f t="shared" ca="1" si="2"/>
        <v>Store C</v>
      </c>
      <c r="C7" t="str">
        <f t="shared" ca="1" si="3"/>
        <v>Rep I</v>
      </c>
      <c r="D7" t="str">
        <f t="shared" ca="1" si="4"/>
        <v>Product H</v>
      </c>
      <c r="E7">
        <f t="shared" ca="1" si="5"/>
        <v>31</v>
      </c>
      <c r="F7" s="2">
        <f t="shared" ca="1" si="6"/>
        <v>3.77</v>
      </c>
      <c r="G7" s="2">
        <f t="shared" ca="1" si="0"/>
        <v>116.87</v>
      </c>
    </row>
    <row r="8" spans="1:7" x14ac:dyDescent="0.25">
      <c r="A8" s="1">
        <f t="shared" ca="1" si="1"/>
        <v>45611</v>
      </c>
      <c r="B8" t="str">
        <f t="shared" ca="1" si="2"/>
        <v>Store C</v>
      </c>
      <c r="C8" t="str">
        <f t="shared" ca="1" si="3"/>
        <v>Rep H</v>
      </c>
      <c r="D8" t="str">
        <f t="shared" ca="1" si="4"/>
        <v>Product G</v>
      </c>
      <c r="E8">
        <f t="shared" ca="1" si="5"/>
        <v>49</v>
      </c>
      <c r="F8" s="2">
        <f t="shared" ca="1" si="6"/>
        <v>4.4400000000000004</v>
      </c>
      <c r="G8" s="2">
        <f t="shared" ca="1" si="0"/>
        <v>217.56000000000003</v>
      </c>
    </row>
    <row r="9" spans="1:7" x14ac:dyDescent="0.25">
      <c r="A9" s="1">
        <f t="shared" ca="1" si="1"/>
        <v>45581</v>
      </c>
      <c r="B9" t="str">
        <f t="shared" ca="1" si="2"/>
        <v>Store E</v>
      </c>
      <c r="C9" t="str">
        <f t="shared" ca="1" si="3"/>
        <v>Rep F</v>
      </c>
      <c r="D9" t="str">
        <f t="shared" ca="1" si="4"/>
        <v>Product I</v>
      </c>
      <c r="E9">
        <f t="shared" ca="1" si="5"/>
        <v>14</v>
      </c>
      <c r="F9" s="2">
        <f t="shared" ca="1" si="6"/>
        <v>14.98</v>
      </c>
      <c r="G9" s="2">
        <f t="shared" ca="1" si="0"/>
        <v>209.72</v>
      </c>
    </row>
    <row r="10" spans="1:7" x14ac:dyDescent="0.25">
      <c r="A10" s="1">
        <f t="shared" ca="1" si="1"/>
        <v>45553</v>
      </c>
      <c r="B10" t="str">
        <f t="shared" ca="1" si="2"/>
        <v>Store G</v>
      </c>
      <c r="C10" t="str">
        <f t="shared" ca="1" si="3"/>
        <v>Rep J</v>
      </c>
      <c r="D10" t="str">
        <f t="shared" ca="1" si="4"/>
        <v>Product B</v>
      </c>
      <c r="E10">
        <f t="shared" ca="1" si="5"/>
        <v>38</v>
      </c>
      <c r="F10" s="2">
        <f t="shared" ca="1" si="6"/>
        <v>25.61</v>
      </c>
      <c r="G10" s="2">
        <f t="shared" ca="1" si="0"/>
        <v>973.18</v>
      </c>
    </row>
    <row r="11" spans="1:7" x14ac:dyDescent="0.25">
      <c r="A11" s="1">
        <f t="shared" ca="1" si="1"/>
        <v>45479</v>
      </c>
      <c r="B11" t="str">
        <f t="shared" ca="1" si="2"/>
        <v>Store I</v>
      </c>
      <c r="C11" t="str">
        <f t="shared" ca="1" si="3"/>
        <v>Rep A</v>
      </c>
      <c r="D11" t="str">
        <f t="shared" ca="1" si="4"/>
        <v>Product G</v>
      </c>
      <c r="E11">
        <f t="shared" ca="1" si="5"/>
        <v>41</v>
      </c>
      <c r="F11" s="2">
        <f t="shared" ca="1" si="6"/>
        <v>8.69</v>
      </c>
      <c r="G11" s="2">
        <f t="shared" ca="1" si="0"/>
        <v>356.28999999999996</v>
      </c>
    </row>
    <row r="12" spans="1:7" x14ac:dyDescent="0.25">
      <c r="A12" s="1">
        <f t="shared" ca="1" si="1"/>
        <v>45384</v>
      </c>
      <c r="B12" t="str">
        <f t="shared" ca="1" si="2"/>
        <v>Store J</v>
      </c>
      <c r="C12" t="str">
        <f t="shared" ca="1" si="3"/>
        <v>Rep J</v>
      </c>
      <c r="D12" t="str">
        <f t="shared" ca="1" si="4"/>
        <v>Product E</v>
      </c>
      <c r="E12">
        <f t="shared" ca="1" si="5"/>
        <v>2</v>
      </c>
      <c r="F12" s="2">
        <f t="shared" ca="1" si="6"/>
        <v>8.66</v>
      </c>
      <c r="G12" s="2">
        <f t="shared" ca="1" si="0"/>
        <v>17.32</v>
      </c>
    </row>
    <row r="13" spans="1:7" x14ac:dyDescent="0.25">
      <c r="A13" s="1">
        <f t="shared" ca="1" si="1"/>
        <v>45505</v>
      </c>
      <c r="B13" t="str">
        <f t="shared" ca="1" si="2"/>
        <v>Store J</v>
      </c>
      <c r="C13" t="str">
        <f t="shared" ca="1" si="3"/>
        <v>Rep H</v>
      </c>
      <c r="D13" t="str">
        <f t="shared" ca="1" si="4"/>
        <v>Product J</v>
      </c>
      <c r="E13">
        <f t="shared" ca="1" si="5"/>
        <v>10</v>
      </c>
      <c r="F13" s="2">
        <f t="shared" ca="1" si="6"/>
        <v>19.27</v>
      </c>
      <c r="G13" s="2">
        <f t="shared" ca="1" si="0"/>
        <v>192.7</v>
      </c>
    </row>
    <row r="14" spans="1:7" x14ac:dyDescent="0.25">
      <c r="A14" s="1">
        <f t="shared" ca="1" si="1"/>
        <v>45506</v>
      </c>
      <c r="B14" t="str">
        <f t="shared" ca="1" si="2"/>
        <v>Store D</v>
      </c>
      <c r="C14" t="str">
        <f t="shared" ca="1" si="3"/>
        <v>Rep C</v>
      </c>
      <c r="D14" t="str">
        <f t="shared" ca="1" si="4"/>
        <v>Product F</v>
      </c>
      <c r="E14">
        <f t="shared" ca="1" si="5"/>
        <v>14</v>
      </c>
      <c r="F14" s="2">
        <f t="shared" ca="1" si="6"/>
        <v>23.56</v>
      </c>
      <c r="G14" s="2">
        <f t="shared" ca="1" si="0"/>
        <v>329.84</v>
      </c>
    </row>
    <row r="15" spans="1:7" x14ac:dyDescent="0.25">
      <c r="A15" s="1">
        <f t="shared" ca="1" si="1"/>
        <v>45587</v>
      </c>
      <c r="B15" t="str">
        <f t="shared" ca="1" si="2"/>
        <v>Store F</v>
      </c>
      <c r="C15" t="str">
        <f t="shared" ca="1" si="3"/>
        <v>Rep D</v>
      </c>
      <c r="D15" t="str">
        <f t="shared" ca="1" si="4"/>
        <v>Product F</v>
      </c>
      <c r="E15">
        <f t="shared" ca="1" si="5"/>
        <v>28</v>
      </c>
      <c r="F15" s="2">
        <f t="shared" ca="1" si="6"/>
        <v>12.11</v>
      </c>
      <c r="G15" s="2">
        <f t="shared" ca="1" si="0"/>
        <v>339.08</v>
      </c>
    </row>
    <row r="16" spans="1:7" x14ac:dyDescent="0.25">
      <c r="A16" s="1">
        <f t="shared" ca="1" si="1"/>
        <v>45469</v>
      </c>
      <c r="B16" t="str">
        <f t="shared" ca="1" si="2"/>
        <v>Store J</v>
      </c>
      <c r="C16" t="str">
        <f t="shared" ca="1" si="3"/>
        <v>Rep B</v>
      </c>
      <c r="D16" t="str">
        <f t="shared" ca="1" si="4"/>
        <v>Product J</v>
      </c>
      <c r="E16">
        <f t="shared" ca="1" si="5"/>
        <v>48</v>
      </c>
      <c r="F16" s="2">
        <f t="shared" ca="1" si="6"/>
        <v>8.48</v>
      </c>
      <c r="G16" s="2">
        <f t="shared" ca="1" si="0"/>
        <v>407.04</v>
      </c>
    </row>
    <row r="17" spans="1:7" x14ac:dyDescent="0.25">
      <c r="A17" s="1">
        <f t="shared" ca="1" si="1"/>
        <v>45389</v>
      </c>
      <c r="B17" t="str">
        <f t="shared" ca="1" si="2"/>
        <v>Store A</v>
      </c>
      <c r="C17" t="str">
        <f t="shared" ca="1" si="3"/>
        <v>Rep F</v>
      </c>
      <c r="D17" t="str">
        <f t="shared" ca="1" si="4"/>
        <v>Product A</v>
      </c>
      <c r="E17">
        <f t="shared" ca="1" si="5"/>
        <v>47</v>
      </c>
      <c r="F17" s="2">
        <f t="shared" ca="1" si="6"/>
        <v>7.43</v>
      </c>
      <c r="G17" s="2">
        <f t="shared" ca="1" si="0"/>
        <v>349.21</v>
      </c>
    </row>
    <row r="18" spans="1:7" x14ac:dyDescent="0.25">
      <c r="A18" s="1">
        <f t="shared" ca="1" si="1"/>
        <v>45331</v>
      </c>
      <c r="B18" t="str">
        <f t="shared" ca="1" si="2"/>
        <v>Store A</v>
      </c>
      <c r="C18" t="str">
        <f t="shared" ca="1" si="3"/>
        <v>Rep J</v>
      </c>
      <c r="D18" t="str">
        <f t="shared" ca="1" si="4"/>
        <v>Product H</v>
      </c>
      <c r="E18">
        <f t="shared" ca="1" si="5"/>
        <v>45</v>
      </c>
      <c r="F18" s="2">
        <f t="shared" ca="1" si="6"/>
        <v>27.13</v>
      </c>
      <c r="G18" s="2">
        <f t="shared" ca="1" si="0"/>
        <v>1220.8499999999999</v>
      </c>
    </row>
    <row r="19" spans="1:7" x14ac:dyDescent="0.25">
      <c r="A19" s="1">
        <f t="shared" ca="1" si="1"/>
        <v>45439</v>
      </c>
      <c r="B19" t="str">
        <f t="shared" ca="1" si="2"/>
        <v>Store G</v>
      </c>
      <c r="C19" t="str">
        <f t="shared" ca="1" si="3"/>
        <v>Rep B</v>
      </c>
      <c r="D19" t="str">
        <f t="shared" ca="1" si="4"/>
        <v>Product G</v>
      </c>
      <c r="E19">
        <f t="shared" ca="1" si="5"/>
        <v>46</v>
      </c>
      <c r="F19" s="2">
        <f t="shared" ca="1" si="6"/>
        <v>13.56</v>
      </c>
      <c r="G19" s="2">
        <f t="shared" ca="1" si="0"/>
        <v>623.76</v>
      </c>
    </row>
    <row r="20" spans="1:7" x14ac:dyDescent="0.25">
      <c r="A20" s="1">
        <f t="shared" ca="1" si="1"/>
        <v>45620</v>
      </c>
      <c r="B20" t="str">
        <f t="shared" ca="1" si="2"/>
        <v>Store H</v>
      </c>
      <c r="C20" t="str">
        <f t="shared" ca="1" si="3"/>
        <v>Rep I</v>
      </c>
      <c r="D20" t="str">
        <f t="shared" ca="1" si="4"/>
        <v>Product D</v>
      </c>
      <c r="E20">
        <f t="shared" ca="1" si="5"/>
        <v>9</v>
      </c>
      <c r="F20" s="2">
        <f t="shared" ca="1" si="6"/>
        <v>26.14</v>
      </c>
      <c r="G20" s="2">
        <f t="shared" ca="1" si="0"/>
        <v>235.26</v>
      </c>
    </row>
    <row r="21" spans="1:7" x14ac:dyDescent="0.25">
      <c r="A21" s="1">
        <f t="shared" ca="1" si="1"/>
        <v>45619</v>
      </c>
      <c r="B21" t="str">
        <f t="shared" ca="1" si="2"/>
        <v>Store J</v>
      </c>
      <c r="C21" t="str">
        <f t="shared" ca="1" si="3"/>
        <v>Rep D</v>
      </c>
      <c r="D21" t="str">
        <f t="shared" ca="1" si="4"/>
        <v>Product F</v>
      </c>
      <c r="E21">
        <f t="shared" ca="1" si="5"/>
        <v>37</v>
      </c>
      <c r="F21" s="2">
        <f t="shared" ca="1" si="6"/>
        <v>20.32</v>
      </c>
      <c r="G21" s="2">
        <f t="shared" ca="1" si="0"/>
        <v>751.84</v>
      </c>
    </row>
    <row r="22" spans="1:7" x14ac:dyDescent="0.25">
      <c r="A22" s="1">
        <f t="shared" ca="1" si="1"/>
        <v>45360</v>
      </c>
      <c r="B22" t="str">
        <f t="shared" ca="1" si="2"/>
        <v>Store A</v>
      </c>
      <c r="C22" t="str">
        <f t="shared" ca="1" si="3"/>
        <v>Rep A</v>
      </c>
      <c r="D22" t="str">
        <f t="shared" ca="1" si="4"/>
        <v>Product C</v>
      </c>
      <c r="E22">
        <f t="shared" ca="1" si="5"/>
        <v>12</v>
      </c>
      <c r="F22" s="2">
        <f t="shared" ca="1" si="6"/>
        <v>15.58</v>
      </c>
      <c r="G22" s="2">
        <f t="shared" ca="1" si="0"/>
        <v>186.96</v>
      </c>
    </row>
    <row r="23" spans="1:7" x14ac:dyDescent="0.25">
      <c r="A23" s="1">
        <f t="shared" ca="1" si="1"/>
        <v>45370</v>
      </c>
      <c r="B23" t="str">
        <f t="shared" ca="1" si="2"/>
        <v>Store A</v>
      </c>
      <c r="C23" t="str">
        <f t="shared" ca="1" si="3"/>
        <v>Rep B</v>
      </c>
      <c r="D23" t="str">
        <f t="shared" ca="1" si="4"/>
        <v>Product J</v>
      </c>
      <c r="E23">
        <f t="shared" ca="1" si="5"/>
        <v>42</v>
      </c>
      <c r="F23" s="2">
        <f t="shared" ca="1" si="6"/>
        <v>17.57</v>
      </c>
      <c r="G23" s="2">
        <f t="shared" ca="1" si="0"/>
        <v>737.94</v>
      </c>
    </row>
    <row r="24" spans="1:7" x14ac:dyDescent="0.25">
      <c r="A24" s="1">
        <f t="shared" ca="1" si="1"/>
        <v>45501</v>
      </c>
      <c r="B24" t="str">
        <f t="shared" ca="1" si="2"/>
        <v>Store D</v>
      </c>
      <c r="C24" t="str">
        <f t="shared" ca="1" si="3"/>
        <v>Rep C</v>
      </c>
      <c r="D24" t="str">
        <f t="shared" ca="1" si="4"/>
        <v>Product H</v>
      </c>
      <c r="E24">
        <f t="shared" ca="1" si="5"/>
        <v>23</v>
      </c>
      <c r="F24" s="2">
        <f t="shared" ca="1" si="6"/>
        <v>21.69</v>
      </c>
      <c r="G24" s="2">
        <f t="shared" ca="1" si="0"/>
        <v>498.87</v>
      </c>
    </row>
    <row r="25" spans="1:7" x14ac:dyDescent="0.25">
      <c r="A25" s="1">
        <f t="shared" ca="1" si="1"/>
        <v>45353</v>
      </c>
      <c r="B25" t="str">
        <f t="shared" ca="1" si="2"/>
        <v>Store I</v>
      </c>
      <c r="C25" t="str">
        <f t="shared" ca="1" si="3"/>
        <v>Rep F</v>
      </c>
      <c r="D25" t="str">
        <f t="shared" ca="1" si="4"/>
        <v>Product J</v>
      </c>
      <c r="E25">
        <f t="shared" ca="1" si="5"/>
        <v>22</v>
      </c>
      <c r="F25" s="2">
        <f t="shared" ca="1" si="6"/>
        <v>27.49</v>
      </c>
      <c r="G25" s="2">
        <f t="shared" ca="1" si="0"/>
        <v>604.78</v>
      </c>
    </row>
    <row r="26" spans="1:7" x14ac:dyDescent="0.25">
      <c r="A26" s="1">
        <f t="shared" ca="1" si="1"/>
        <v>45642</v>
      </c>
      <c r="B26" t="str">
        <f t="shared" ca="1" si="2"/>
        <v>Store G</v>
      </c>
      <c r="C26" t="str">
        <f t="shared" ca="1" si="3"/>
        <v>Rep F</v>
      </c>
      <c r="D26" t="str">
        <f t="shared" ca="1" si="4"/>
        <v>Product G</v>
      </c>
      <c r="E26">
        <f t="shared" ca="1" si="5"/>
        <v>50</v>
      </c>
      <c r="F26" s="2">
        <f t="shared" ca="1" si="6"/>
        <v>14.89</v>
      </c>
      <c r="G26" s="2">
        <f t="shared" ca="1" si="0"/>
        <v>744.5</v>
      </c>
    </row>
    <row r="27" spans="1:7" x14ac:dyDescent="0.25">
      <c r="A27" s="1">
        <f t="shared" ca="1" si="1"/>
        <v>45336</v>
      </c>
      <c r="B27" t="str">
        <f t="shared" ca="1" si="2"/>
        <v>Store J</v>
      </c>
      <c r="C27" t="str">
        <f t="shared" ca="1" si="3"/>
        <v>Rep B</v>
      </c>
      <c r="D27" t="str">
        <f t="shared" ca="1" si="4"/>
        <v>Product I</v>
      </c>
      <c r="E27">
        <f t="shared" ca="1" si="5"/>
        <v>48</v>
      </c>
      <c r="F27" s="2">
        <f t="shared" ca="1" si="6"/>
        <v>18.059999999999999</v>
      </c>
      <c r="G27" s="2">
        <f t="shared" ca="1" si="0"/>
        <v>866.87999999999988</v>
      </c>
    </row>
    <row r="28" spans="1:7" x14ac:dyDescent="0.25">
      <c r="A28" s="1">
        <f t="shared" ca="1" si="1"/>
        <v>45366</v>
      </c>
      <c r="B28" t="str">
        <f t="shared" ca="1" si="2"/>
        <v>Store C</v>
      </c>
      <c r="C28" t="str">
        <f t="shared" ca="1" si="3"/>
        <v>Rep B</v>
      </c>
      <c r="D28" t="str">
        <f t="shared" ca="1" si="4"/>
        <v>Product G</v>
      </c>
      <c r="E28">
        <f t="shared" ca="1" si="5"/>
        <v>27</v>
      </c>
      <c r="F28" s="2">
        <f t="shared" ca="1" si="6"/>
        <v>29.52</v>
      </c>
      <c r="G28" s="2">
        <f t="shared" ca="1" si="0"/>
        <v>797.04</v>
      </c>
    </row>
    <row r="29" spans="1:7" x14ac:dyDescent="0.25">
      <c r="A29" s="1">
        <f t="shared" ca="1" si="1"/>
        <v>45467</v>
      </c>
      <c r="B29" t="str">
        <f t="shared" ca="1" si="2"/>
        <v>Store G</v>
      </c>
      <c r="C29" t="str">
        <f t="shared" ca="1" si="3"/>
        <v>Rep F</v>
      </c>
      <c r="D29" t="str">
        <f t="shared" ca="1" si="4"/>
        <v>Product F</v>
      </c>
      <c r="E29">
        <f t="shared" ca="1" si="5"/>
        <v>4</v>
      </c>
      <c r="F29" s="2">
        <f t="shared" ca="1" si="6"/>
        <v>24.99</v>
      </c>
      <c r="G29" s="2">
        <f t="shared" ca="1" si="0"/>
        <v>99.96</v>
      </c>
    </row>
    <row r="30" spans="1:7" x14ac:dyDescent="0.25">
      <c r="A30" s="1">
        <f t="shared" ca="1" si="1"/>
        <v>45441</v>
      </c>
      <c r="B30" t="str">
        <f t="shared" ca="1" si="2"/>
        <v>Store C</v>
      </c>
      <c r="C30" t="str">
        <f t="shared" ca="1" si="3"/>
        <v>Rep D</v>
      </c>
      <c r="D30" t="str">
        <f t="shared" ca="1" si="4"/>
        <v>Product I</v>
      </c>
      <c r="E30">
        <f t="shared" ca="1" si="5"/>
        <v>34</v>
      </c>
      <c r="F30" s="2">
        <f t="shared" ca="1" si="6"/>
        <v>10.17</v>
      </c>
      <c r="G30" s="2">
        <f t="shared" ca="1" si="0"/>
        <v>345.78</v>
      </c>
    </row>
    <row r="31" spans="1:7" x14ac:dyDescent="0.25">
      <c r="A31" s="1">
        <f t="shared" ca="1" si="1"/>
        <v>45628</v>
      </c>
      <c r="B31" t="str">
        <f t="shared" ca="1" si="2"/>
        <v>Store A</v>
      </c>
      <c r="C31" t="str">
        <f t="shared" ca="1" si="3"/>
        <v>Rep D</v>
      </c>
      <c r="D31" t="str">
        <f t="shared" ca="1" si="4"/>
        <v>Product C</v>
      </c>
      <c r="E31">
        <f t="shared" ca="1" si="5"/>
        <v>46</v>
      </c>
      <c r="F31" s="2">
        <f t="shared" ca="1" si="6"/>
        <v>13.47</v>
      </c>
      <c r="G31" s="2">
        <f t="shared" ca="1" si="0"/>
        <v>619.62</v>
      </c>
    </row>
    <row r="32" spans="1:7" x14ac:dyDescent="0.25">
      <c r="A32" s="1">
        <f t="shared" ca="1" si="1"/>
        <v>45620</v>
      </c>
      <c r="B32" t="str">
        <f t="shared" ca="1" si="2"/>
        <v>Store F</v>
      </c>
      <c r="C32" t="str">
        <f t="shared" ca="1" si="3"/>
        <v>Rep G</v>
      </c>
      <c r="D32" t="str">
        <f t="shared" ca="1" si="4"/>
        <v>Product F</v>
      </c>
      <c r="E32">
        <f t="shared" ca="1" si="5"/>
        <v>5</v>
      </c>
      <c r="F32" s="2">
        <f t="shared" ca="1" si="6"/>
        <v>7.04</v>
      </c>
      <c r="G32" s="2">
        <f t="shared" ca="1" si="0"/>
        <v>35.200000000000003</v>
      </c>
    </row>
    <row r="33" spans="1:7" x14ac:dyDescent="0.25">
      <c r="A33" s="1">
        <f t="shared" ca="1" si="1"/>
        <v>45619</v>
      </c>
      <c r="B33" t="str">
        <f t="shared" ca="1" si="2"/>
        <v>Store E</v>
      </c>
      <c r="C33" t="str">
        <f t="shared" ca="1" si="3"/>
        <v>Rep I</v>
      </c>
      <c r="D33" t="str">
        <f t="shared" ca="1" si="4"/>
        <v>Product I</v>
      </c>
      <c r="E33">
        <f t="shared" ca="1" si="5"/>
        <v>27</v>
      </c>
      <c r="F33" s="2">
        <f t="shared" ca="1" si="6"/>
        <v>26.7</v>
      </c>
      <c r="G33" s="2">
        <f t="shared" ca="1" si="0"/>
        <v>720.9</v>
      </c>
    </row>
    <row r="34" spans="1:7" x14ac:dyDescent="0.25">
      <c r="A34" s="1">
        <f t="shared" ca="1" si="1"/>
        <v>45541</v>
      </c>
      <c r="B34" t="str">
        <f t="shared" ca="1" si="2"/>
        <v>Store E</v>
      </c>
      <c r="C34" t="str">
        <f t="shared" ca="1" si="3"/>
        <v>Rep I</v>
      </c>
      <c r="D34" t="str">
        <f t="shared" ca="1" si="4"/>
        <v>Product E</v>
      </c>
      <c r="E34">
        <f t="shared" ca="1" si="5"/>
        <v>14</v>
      </c>
      <c r="F34" s="2">
        <f t="shared" ca="1" si="6"/>
        <v>28.88</v>
      </c>
      <c r="G34" s="2">
        <f t="shared" ca="1" si="0"/>
        <v>404.32</v>
      </c>
    </row>
    <row r="35" spans="1:7" x14ac:dyDescent="0.25">
      <c r="A35" s="1">
        <f t="shared" ca="1" si="1"/>
        <v>45607</v>
      </c>
      <c r="B35" t="str">
        <f t="shared" ca="1" si="2"/>
        <v>Store G</v>
      </c>
      <c r="C35" t="str">
        <f t="shared" ca="1" si="3"/>
        <v>Rep F</v>
      </c>
      <c r="D35" t="str">
        <f t="shared" ca="1" si="4"/>
        <v>Product C</v>
      </c>
      <c r="E35">
        <f t="shared" ca="1" si="5"/>
        <v>29</v>
      </c>
      <c r="F35" s="2">
        <f t="shared" ca="1" si="6"/>
        <v>17.91</v>
      </c>
      <c r="G35" s="2">
        <f t="shared" ca="1" si="0"/>
        <v>519.39</v>
      </c>
    </row>
    <row r="36" spans="1:7" x14ac:dyDescent="0.25">
      <c r="A36" s="1">
        <f t="shared" ca="1" si="1"/>
        <v>45446</v>
      </c>
      <c r="B36" t="str">
        <f t="shared" ca="1" si="2"/>
        <v>Store B</v>
      </c>
      <c r="C36" t="str">
        <f t="shared" ca="1" si="3"/>
        <v>Rep J</v>
      </c>
      <c r="D36" t="str">
        <f t="shared" ca="1" si="4"/>
        <v>Product C</v>
      </c>
      <c r="E36">
        <f t="shared" ca="1" si="5"/>
        <v>1</v>
      </c>
      <c r="F36" s="2">
        <f t="shared" ca="1" si="6"/>
        <v>27.15</v>
      </c>
      <c r="G36" s="2">
        <f t="shared" ca="1" si="0"/>
        <v>27.15</v>
      </c>
    </row>
    <row r="37" spans="1:7" x14ac:dyDescent="0.25">
      <c r="A37" s="1">
        <f t="shared" ca="1" si="1"/>
        <v>45511</v>
      </c>
      <c r="B37" t="str">
        <f t="shared" ca="1" si="2"/>
        <v>Store D</v>
      </c>
      <c r="C37" t="str">
        <f t="shared" ca="1" si="3"/>
        <v>Rep B</v>
      </c>
      <c r="D37" t="str">
        <f t="shared" ca="1" si="4"/>
        <v>Product A</v>
      </c>
      <c r="E37">
        <f t="shared" ca="1" si="5"/>
        <v>29</v>
      </c>
      <c r="F37" s="2">
        <f t="shared" ca="1" si="6"/>
        <v>26.49</v>
      </c>
      <c r="G37" s="2">
        <f t="shared" ca="1" si="0"/>
        <v>768.20999999999992</v>
      </c>
    </row>
    <row r="38" spans="1:7" x14ac:dyDescent="0.25">
      <c r="A38" s="1">
        <f t="shared" ca="1" si="1"/>
        <v>45405</v>
      </c>
      <c r="B38" t="str">
        <f t="shared" ca="1" si="2"/>
        <v>Store E</v>
      </c>
      <c r="C38" t="str">
        <f t="shared" ca="1" si="3"/>
        <v>Rep B</v>
      </c>
      <c r="D38" t="str">
        <f t="shared" ca="1" si="4"/>
        <v>Product H</v>
      </c>
      <c r="E38">
        <f t="shared" ca="1" si="5"/>
        <v>30</v>
      </c>
      <c r="F38" s="2">
        <f t="shared" ca="1" si="6"/>
        <v>24.56</v>
      </c>
      <c r="G38" s="2">
        <f t="shared" ca="1" si="0"/>
        <v>736.8</v>
      </c>
    </row>
    <row r="39" spans="1:7" x14ac:dyDescent="0.25">
      <c r="A39" s="1">
        <f t="shared" ca="1" si="1"/>
        <v>45337</v>
      </c>
      <c r="B39" t="str">
        <f t="shared" ca="1" si="2"/>
        <v>Store H</v>
      </c>
      <c r="C39" t="str">
        <f t="shared" ca="1" si="3"/>
        <v>Rep J</v>
      </c>
      <c r="D39" t="str">
        <f t="shared" ca="1" si="4"/>
        <v>Product G</v>
      </c>
      <c r="E39">
        <f t="shared" ca="1" si="5"/>
        <v>9</v>
      </c>
      <c r="F39" s="2">
        <f t="shared" ca="1" si="6"/>
        <v>10.58</v>
      </c>
      <c r="G39" s="2">
        <f t="shared" ca="1" si="0"/>
        <v>95.22</v>
      </c>
    </row>
    <row r="40" spans="1:7" x14ac:dyDescent="0.25">
      <c r="A40" s="1">
        <f t="shared" ca="1" si="1"/>
        <v>45499</v>
      </c>
      <c r="B40" t="str">
        <f t="shared" ca="1" si="2"/>
        <v>Store D</v>
      </c>
      <c r="C40" t="str">
        <f t="shared" ca="1" si="3"/>
        <v>Rep I</v>
      </c>
      <c r="D40" t="str">
        <f t="shared" ca="1" si="4"/>
        <v>Product F</v>
      </c>
      <c r="E40">
        <f t="shared" ca="1" si="5"/>
        <v>18</v>
      </c>
      <c r="F40" s="2">
        <f t="shared" ca="1" si="6"/>
        <v>12.06</v>
      </c>
      <c r="G40" s="2">
        <f t="shared" ca="1" si="0"/>
        <v>217.08</v>
      </c>
    </row>
    <row r="41" spans="1:7" x14ac:dyDescent="0.25">
      <c r="A41" s="1">
        <f t="shared" ca="1" si="1"/>
        <v>45298</v>
      </c>
      <c r="B41" t="str">
        <f t="shared" ca="1" si="2"/>
        <v>Store A</v>
      </c>
      <c r="C41" t="str">
        <f t="shared" ca="1" si="3"/>
        <v>Rep G</v>
      </c>
      <c r="D41" t="str">
        <f t="shared" ca="1" si="4"/>
        <v>Product I</v>
      </c>
      <c r="E41">
        <f t="shared" ca="1" si="5"/>
        <v>37</v>
      </c>
      <c r="F41" s="2">
        <f t="shared" ca="1" si="6"/>
        <v>24.3</v>
      </c>
      <c r="G41" s="2">
        <f t="shared" ca="1" si="0"/>
        <v>899.1</v>
      </c>
    </row>
    <row r="42" spans="1:7" x14ac:dyDescent="0.25">
      <c r="A42" s="1">
        <f t="shared" ca="1" si="1"/>
        <v>45364</v>
      </c>
      <c r="B42" t="str">
        <f t="shared" ca="1" si="2"/>
        <v>Store C</v>
      </c>
      <c r="C42" t="str">
        <f t="shared" ca="1" si="3"/>
        <v>Rep F</v>
      </c>
      <c r="D42" t="str">
        <f t="shared" ca="1" si="4"/>
        <v>Product E</v>
      </c>
      <c r="E42">
        <f t="shared" ca="1" si="5"/>
        <v>13</v>
      </c>
      <c r="F42" s="2">
        <f t="shared" ca="1" si="6"/>
        <v>6.5</v>
      </c>
      <c r="G42" s="2">
        <f t="shared" ca="1" si="0"/>
        <v>84.5</v>
      </c>
    </row>
    <row r="43" spans="1:7" x14ac:dyDescent="0.25">
      <c r="A43" s="1">
        <f t="shared" ca="1" si="1"/>
        <v>45486</v>
      </c>
      <c r="B43" t="str">
        <f t="shared" ca="1" si="2"/>
        <v>Store B</v>
      </c>
      <c r="C43" t="str">
        <f t="shared" ca="1" si="3"/>
        <v>Rep I</v>
      </c>
      <c r="D43" t="str">
        <f t="shared" ca="1" si="4"/>
        <v>Product H</v>
      </c>
      <c r="E43">
        <f t="shared" ca="1" si="5"/>
        <v>19</v>
      </c>
      <c r="F43" s="2">
        <f t="shared" ca="1" si="6"/>
        <v>10.37</v>
      </c>
      <c r="G43" s="2">
        <f t="shared" ca="1" si="0"/>
        <v>197.02999999999997</v>
      </c>
    </row>
    <row r="44" spans="1:7" x14ac:dyDescent="0.25">
      <c r="A44" s="1">
        <f t="shared" ca="1" si="1"/>
        <v>45485</v>
      </c>
      <c r="B44" t="str">
        <f t="shared" ca="1" si="2"/>
        <v>Store B</v>
      </c>
      <c r="C44" t="str">
        <f t="shared" ca="1" si="3"/>
        <v>Rep C</v>
      </c>
      <c r="D44" t="str">
        <f t="shared" ca="1" si="4"/>
        <v>Product J</v>
      </c>
      <c r="E44">
        <f t="shared" ca="1" si="5"/>
        <v>40</v>
      </c>
      <c r="F44" s="2">
        <f t="shared" ca="1" si="6"/>
        <v>5.62</v>
      </c>
      <c r="G44" s="2">
        <f t="shared" ca="1" si="0"/>
        <v>224.8</v>
      </c>
    </row>
    <row r="45" spans="1:7" x14ac:dyDescent="0.25">
      <c r="A45" s="1">
        <f t="shared" ca="1" si="1"/>
        <v>45418</v>
      </c>
      <c r="B45" t="str">
        <f t="shared" ca="1" si="2"/>
        <v>Store J</v>
      </c>
      <c r="C45" t="str">
        <f t="shared" ca="1" si="3"/>
        <v>Rep D</v>
      </c>
      <c r="D45" t="str">
        <f t="shared" ca="1" si="4"/>
        <v>Product B</v>
      </c>
      <c r="E45">
        <f t="shared" ca="1" si="5"/>
        <v>2</v>
      </c>
      <c r="F45" s="2">
        <f t="shared" ca="1" si="6"/>
        <v>2.0099999999999998</v>
      </c>
      <c r="G45" s="2">
        <f t="shared" ca="1" si="0"/>
        <v>4.0199999999999996</v>
      </c>
    </row>
    <row r="46" spans="1:7" x14ac:dyDescent="0.25">
      <c r="A46" s="1">
        <f t="shared" ca="1" si="1"/>
        <v>45466</v>
      </c>
      <c r="B46" t="str">
        <f t="shared" ca="1" si="2"/>
        <v>Store A</v>
      </c>
      <c r="C46" t="str">
        <f t="shared" ca="1" si="3"/>
        <v>Rep A</v>
      </c>
      <c r="D46" t="str">
        <f t="shared" ca="1" si="4"/>
        <v>Product J</v>
      </c>
      <c r="E46">
        <f t="shared" ca="1" si="5"/>
        <v>46</v>
      </c>
      <c r="F46" s="2">
        <f t="shared" ca="1" si="6"/>
        <v>3.81</v>
      </c>
      <c r="G46" s="2">
        <f t="shared" ca="1" si="0"/>
        <v>175.26</v>
      </c>
    </row>
    <row r="47" spans="1:7" x14ac:dyDescent="0.25">
      <c r="A47" s="1">
        <f t="shared" ca="1" si="1"/>
        <v>45495</v>
      </c>
      <c r="B47" t="str">
        <f t="shared" ca="1" si="2"/>
        <v>Store H</v>
      </c>
      <c r="C47" t="str">
        <f t="shared" ca="1" si="3"/>
        <v>Rep E</v>
      </c>
      <c r="D47" t="str">
        <f t="shared" ca="1" si="4"/>
        <v>Product C</v>
      </c>
      <c r="E47">
        <f t="shared" ca="1" si="5"/>
        <v>47</v>
      </c>
      <c r="F47" s="2">
        <f t="shared" ca="1" si="6"/>
        <v>17.420000000000002</v>
      </c>
      <c r="G47" s="2">
        <f t="shared" ca="1" si="0"/>
        <v>818.74000000000012</v>
      </c>
    </row>
    <row r="48" spans="1:7" x14ac:dyDescent="0.25">
      <c r="A48" s="1">
        <f t="shared" ca="1" si="1"/>
        <v>45298</v>
      </c>
      <c r="B48" t="str">
        <f t="shared" ca="1" si="2"/>
        <v>Store F</v>
      </c>
      <c r="C48" t="str">
        <f t="shared" ca="1" si="3"/>
        <v>Rep A</v>
      </c>
      <c r="D48" t="str">
        <f t="shared" ca="1" si="4"/>
        <v>Product E</v>
      </c>
      <c r="E48">
        <f t="shared" ca="1" si="5"/>
        <v>21</v>
      </c>
      <c r="F48" s="2">
        <f t="shared" ca="1" si="6"/>
        <v>3.83</v>
      </c>
      <c r="G48" s="2">
        <f t="shared" ca="1" si="0"/>
        <v>80.430000000000007</v>
      </c>
    </row>
    <row r="49" spans="1:7" x14ac:dyDescent="0.25">
      <c r="A49" s="1">
        <f t="shared" ca="1" si="1"/>
        <v>45473</v>
      </c>
      <c r="B49" t="str">
        <f t="shared" ca="1" si="2"/>
        <v>Store J</v>
      </c>
      <c r="C49" t="str">
        <f t="shared" ca="1" si="3"/>
        <v>Rep C</v>
      </c>
      <c r="D49" t="str">
        <f t="shared" ca="1" si="4"/>
        <v>Product C</v>
      </c>
      <c r="E49">
        <f t="shared" ca="1" si="5"/>
        <v>47</v>
      </c>
      <c r="F49" s="2">
        <f t="shared" ca="1" si="6"/>
        <v>18.309999999999999</v>
      </c>
      <c r="G49" s="2">
        <f t="shared" ca="1" si="0"/>
        <v>860.56999999999994</v>
      </c>
    </row>
    <row r="50" spans="1:7" x14ac:dyDescent="0.25">
      <c r="A50" s="1">
        <f t="shared" ca="1" si="1"/>
        <v>45656</v>
      </c>
      <c r="B50" t="str">
        <f t="shared" ca="1" si="2"/>
        <v>Store A</v>
      </c>
      <c r="C50" t="str">
        <f t="shared" ca="1" si="3"/>
        <v>Rep C</v>
      </c>
      <c r="D50" t="str">
        <f t="shared" ca="1" si="4"/>
        <v>Product J</v>
      </c>
      <c r="E50">
        <f t="shared" ca="1" si="5"/>
        <v>17</v>
      </c>
      <c r="F50" s="2">
        <f t="shared" ca="1" si="6"/>
        <v>7.99</v>
      </c>
      <c r="G50" s="2">
        <f t="shared" ca="1" si="0"/>
        <v>135.83000000000001</v>
      </c>
    </row>
    <row r="51" spans="1:7" x14ac:dyDescent="0.25">
      <c r="A51" s="1">
        <f t="shared" ca="1" si="1"/>
        <v>45300</v>
      </c>
      <c r="B51" t="str">
        <f t="shared" ca="1" si="2"/>
        <v>Store C</v>
      </c>
      <c r="C51" t="str">
        <f t="shared" ca="1" si="3"/>
        <v>Rep G</v>
      </c>
      <c r="D51" t="str">
        <f t="shared" ca="1" si="4"/>
        <v>Product F</v>
      </c>
      <c r="E51">
        <f t="shared" ca="1" si="5"/>
        <v>21</v>
      </c>
      <c r="F51" s="2">
        <f t="shared" ca="1" si="6"/>
        <v>5.18</v>
      </c>
      <c r="G51" s="2">
        <f t="shared" ca="1" si="0"/>
        <v>108.78</v>
      </c>
    </row>
    <row r="52" spans="1:7" x14ac:dyDescent="0.25">
      <c r="A52" s="1">
        <f t="shared" ca="1" si="1"/>
        <v>45310</v>
      </c>
      <c r="B52" t="str">
        <f t="shared" ca="1" si="2"/>
        <v>Store D</v>
      </c>
      <c r="C52" t="str">
        <f t="shared" ca="1" si="3"/>
        <v>Rep I</v>
      </c>
      <c r="D52" t="str">
        <f t="shared" ca="1" si="4"/>
        <v>Product G</v>
      </c>
      <c r="E52">
        <f t="shared" ca="1" si="5"/>
        <v>27</v>
      </c>
      <c r="F52" s="2">
        <f t="shared" ca="1" si="6"/>
        <v>25.2</v>
      </c>
      <c r="G52" s="2">
        <f t="shared" ca="1" si="0"/>
        <v>680.4</v>
      </c>
    </row>
    <row r="53" spans="1:7" x14ac:dyDescent="0.25">
      <c r="A53" s="1">
        <f t="shared" ca="1" si="1"/>
        <v>45572</v>
      </c>
      <c r="B53" t="str">
        <f t="shared" ca="1" si="2"/>
        <v>Store J</v>
      </c>
      <c r="C53" t="str">
        <f t="shared" ca="1" si="3"/>
        <v>Rep G</v>
      </c>
      <c r="D53" t="str">
        <f t="shared" ca="1" si="4"/>
        <v>Product B</v>
      </c>
      <c r="E53">
        <f t="shared" ca="1" si="5"/>
        <v>42</v>
      </c>
      <c r="F53" s="2">
        <f t="shared" ca="1" si="6"/>
        <v>5.16</v>
      </c>
      <c r="G53" s="2">
        <f t="shared" ca="1" si="0"/>
        <v>216.72</v>
      </c>
    </row>
    <row r="54" spans="1:7" x14ac:dyDescent="0.25">
      <c r="A54" s="1">
        <f t="shared" ca="1" si="1"/>
        <v>45622</v>
      </c>
      <c r="B54" t="str">
        <f t="shared" ca="1" si="2"/>
        <v>Store E</v>
      </c>
      <c r="C54" t="str">
        <f t="shared" ca="1" si="3"/>
        <v>Rep E</v>
      </c>
      <c r="D54" t="str">
        <f t="shared" ca="1" si="4"/>
        <v>Product B</v>
      </c>
      <c r="E54">
        <f t="shared" ca="1" si="5"/>
        <v>41</v>
      </c>
      <c r="F54" s="2">
        <f t="shared" ca="1" si="6"/>
        <v>16</v>
      </c>
      <c r="G54" s="2">
        <f t="shared" ca="1" si="0"/>
        <v>656</v>
      </c>
    </row>
    <row r="55" spans="1:7" x14ac:dyDescent="0.25">
      <c r="A55" s="1">
        <f t="shared" ca="1" si="1"/>
        <v>45428</v>
      </c>
      <c r="B55" t="str">
        <f t="shared" ca="1" si="2"/>
        <v>Store E</v>
      </c>
      <c r="C55" t="str">
        <f t="shared" ca="1" si="3"/>
        <v>Rep F</v>
      </c>
      <c r="D55" t="str">
        <f t="shared" ca="1" si="4"/>
        <v>Product J</v>
      </c>
      <c r="E55">
        <f t="shared" ca="1" si="5"/>
        <v>26</v>
      </c>
      <c r="F55" s="2">
        <f t="shared" ca="1" si="6"/>
        <v>7.16</v>
      </c>
      <c r="G55" s="2">
        <f t="shared" ca="1" si="0"/>
        <v>186.16</v>
      </c>
    </row>
    <row r="56" spans="1:7" x14ac:dyDescent="0.25">
      <c r="A56" s="1">
        <f t="shared" ca="1" si="1"/>
        <v>45321</v>
      </c>
      <c r="B56" t="str">
        <f t="shared" ca="1" si="2"/>
        <v>Store J</v>
      </c>
      <c r="C56" t="str">
        <f t="shared" ca="1" si="3"/>
        <v>Rep J</v>
      </c>
      <c r="D56" t="str">
        <f t="shared" ca="1" si="4"/>
        <v>Product H</v>
      </c>
      <c r="E56">
        <f t="shared" ca="1" si="5"/>
        <v>32</v>
      </c>
      <c r="F56" s="2">
        <f t="shared" ca="1" si="6"/>
        <v>10.93</v>
      </c>
      <c r="G56" s="2">
        <f t="shared" ca="1" si="0"/>
        <v>349.76</v>
      </c>
    </row>
    <row r="57" spans="1:7" x14ac:dyDescent="0.25">
      <c r="A57" s="1">
        <f t="shared" ca="1" si="1"/>
        <v>45605</v>
      </c>
      <c r="B57" t="str">
        <f t="shared" ca="1" si="2"/>
        <v>Store E</v>
      </c>
      <c r="C57" t="str">
        <f t="shared" ca="1" si="3"/>
        <v>Rep E</v>
      </c>
      <c r="D57" t="str">
        <f t="shared" ca="1" si="4"/>
        <v>Product G</v>
      </c>
      <c r="E57">
        <f t="shared" ca="1" si="5"/>
        <v>1</v>
      </c>
      <c r="F57" s="2">
        <f t="shared" ca="1" si="6"/>
        <v>12.71</v>
      </c>
      <c r="G57" s="2">
        <f t="shared" ca="1" si="0"/>
        <v>12.71</v>
      </c>
    </row>
    <row r="58" spans="1:7" x14ac:dyDescent="0.25">
      <c r="A58" s="1">
        <f t="shared" ca="1" si="1"/>
        <v>45635</v>
      </c>
      <c r="B58" t="str">
        <f t="shared" ca="1" si="2"/>
        <v>Store F</v>
      </c>
      <c r="C58" t="str">
        <f t="shared" ca="1" si="3"/>
        <v>Rep H</v>
      </c>
      <c r="D58" t="str">
        <f t="shared" ca="1" si="4"/>
        <v>Product B</v>
      </c>
      <c r="E58">
        <f t="shared" ca="1" si="5"/>
        <v>12</v>
      </c>
      <c r="F58" s="2">
        <f t="shared" ca="1" si="6"/>
        <v>29.56</v>
      </c>
      <c r="G58" s="2">
        <f t="shared" ca="1" si="0"/>
        <v>354.71999999999997</v>
      </c>
    </row>
    <row r="59" spans="1:7" x14ac:dyDescent="0.25">
      <c r="A59" s="1">
        <f t="shared" ca="1" si="1"/>
        <v>45577</v>
      </c>
      <c r="B59" t="str">
        <f t="shared" ca="1" si="2"/>
        <v>Store H</v>
      </c>
      <c r="C59" t="str">
        <f t="shared" ca="1" si="3"/>
        <v>Rep J</v>
      </c>
      <c r="D59" t="str">
        <f t="shared" ca="1" si="4"/>
        <v>Product D</v>
      </c>
      <c r="E59">
        <f t="shared" ca="1" si="5"/>
        <v>48</v>
      </c>
      <c r="F59" s="2">
        <f t="shared" ca="1" si="6"/>
        <v>5.9</v>
      </c>
      <c r="G59" s="2">
        <f t="shared" ca="1" si="0"/>
        <v>283.20000000000005</v>
      </c>
    </row>
    <row r="60" spans="1:7" x14ac:dyDescent="0.25">
      <c r="A60" s="1">
        <f t="shared" ca="1" si="1"/>
        <v>45358</v>
      </c>
      <c r="B60" t="str">
        <f t="shared" ca="1" si="2"/>
        <v>Store D</v>
      </c>
      <c r="C60" t="str">
        <f t="shared" ca="1" si="3"/>
        <v>Rep C</v>
      </c>
      <c r="D60" t="str">
        <f t="shared" ca="1" si="4"/>
        <v>Product A</v>
      </c>
      <c r="E60">
        <f t="shared" ca="1" si="5"/>
        <v>3</v>
      </c>
      <c r="F60" s="2">
        <f t="shared" ca="1" si="6"/>
        <v>27.14</v>
      </c>
      <c r="G60" s="2">
        <f t="shared" ca="1" si="0"/>
        <v>81.42</v>
      </c>
    </row>
    <row r="61" spans="1:7" x14ac:dyDescent="0.25">
      <c r="A61" s="1">
        <f t="shared" ca="1" si="1"/>
        <v>45588</v>
      </c>
      <c r="B61" t="str">
        <f t="shared" ca="1" si="2"/>
        <v>Store G</v>
      </c>
      <c r="C61" t="str">
        <f t="shared" ca="1" si="3"/>
        <v>Rep B</v>
      </c>
      <c r="D61" t="str">
        <f t="shared" ca="1" si="4"/>
        <v>Product A</v>
      </c>
      <c r="E61">
        <f t="shared" ca="1" si="5"/>
        <v>48</v>
      </c>
      <c r="F61" s="2">
        <f t="shared" ca="1" si="6"/>
        <v>14.42</v>
      </c>
      <c r="G61" s="2">
        <f t="shared" ca="1" si="0"/>
        <v>692.16</v>
      </c>
    </row>
    <row r="62" spans="1:7" x14ac:dyDescent="0.25">
      <c r="A62" s="1">
        <f t="shared" ca="1" si="1"/>
        <v>45354</v>
      </c>
      <c r="B62" t="str">
        <f t="shared" ca="1" si="2"/>
        <v>Store I</v>
      </c>
      <c r="C62" t="str">
        <f t="shared" ca="1" si="3"/>
        <v>Rep I</v>
      </c>
      <c r="D62" t="str">
        <f t="shared" ca="1" si="4"/>
        <v>Product D</v>
      </c>
      <c r="E62">
        <f t="shared" ca="1" si="5"/>
        <v>50</v>
      </c>
      <c r="F62" s="2">
        <f t="shared" ca="1" si="6"/>
        <v>27.1</v>
      </c>
      <c r="G62" s="2">
        <f t="shared" ca="1" si="0"/>
        <v>1355</v>
      </c>
    </row>
    <row r="63" spans="1:7" x14ac:dyDescent="0.25">
      <c r="A63" s="1">
        <f t="shared" ca="1" si="1"/>
        <v>45450</v>
      </c>
      <c r="B63" t="str">
        <f t="shared" ca="1" si="2"/>
        <v>Store E</v>
      </c>
      <c r="C63" t="str">
        <f t="shared" ca="1" si="3"/>
        <v>Rep H</v>
      </c>
      <c r="D63" t="str">
        <f t="shared" ca="1" si="4"/>
        <v>Product I</v>
      </c>
      <c r="E63">
        <f t="shared" ca="1" si="5"/>
        <v>5</v>
      </c>
      <c r="F63" s="2">
        <f t="shared" ca="1" si="6"/>
        <v>14.11</v>
      </c>
      <c r="G63" s="2">
        <f t="shared" ca="1" si="0"/>
        <v>70.55</v>
      </c>
    </row>
    <row r="64" spans="1:7" x14ac:dyDescent="0.25">
      <c r="A64" s="1">
        <f t="shared" ca="1" si="1"/>
        <v>45622</v>
      </c>
      <c r="B64" t="str">
        <f t="shared" ca="1" si="2"/>
        <v>Store B</v>
      </c>
      <c r="C64" t="str">
        <f t="shared" ca="1" si="3"/>
        <v>Rep B</v>
      </c>
      <c r="D64" t="str">
        <f t="shared" ca="1" si="4"/>
        <v>Product D</v>
      </c>
      <c r="E64">
        <f t="shared" ca="1" si="5"/>
        <v>1</v>
      </c>
      <c r="F64" s="2">
        <f t="shared" ca="1" si="6"/>
        <v>27.76</v>
      </c>
      <c r="G64" s="2">
        <f t="shared" ca="1" si="0"/>
        <v>27.76</v>
      </c>
    </row>
    <row r="65" spans="1:7" x14ac:dyDescent="0.25">
      <c r="A65" s="1">
        <f t="shared" ca="1" si="1"/>
        <v>45621</v>
      </c>
      <c r="B65" t="str">
        <f t="shared" ca="1" si="2"/>
        <v>Store D</v>
      </c>
      <c r="C65" t="str">
        <f t="shared" ca="1" si="3"/>
        <v>Rep B</v>
      </c>
      <c r="D65" t="str">
        <f t="shared" ca="1" si="4"/>
        <v>Product I</v>
      </c>
      <c r="E65">
        <f t="shared" ca="1" si="5"/>
        <v>7</v>
      </c>
      <c r="F65" s="2">
        <f t="shared" ca="1" si="6"/>
        <v>4.34</v>
      </c>
      <c r="G65" s="2">
        <f t="shared" ca="1" si="0"/>
        <v>30.38</v>
      </c>
    </row>
    <row r="66" spans="1:7" x14ac:dyDescent="0.25">
      <c r="A66" s="1">
        <f t="shared" ca="1" si="1"/>
        <v>45388</v>
      </c>
      <c r="B66" t="str">
        <f t="shared" ca="1" si="2"/>
        <v>Store J</v>
      </c>
      <c r="C66" t="str">
        <f t="shared" ca="1" si="3"/>
        <v>Rep C</v>
      </c>
      <c r="D66" t="str">
        <f t="shared" ca="1" si="4"/>
        <v>Product I</v>
      </c>
      <c r="E66">
        <f t="shared" ca="1" si="5"/>
        <v>42</v>
      </c>
      <c r="F66" s="2">
        <f t="shared" ca="1" si="6"/>
        <v>8.6</v>
      </c>
      <c r="G66" s="2">
        <f t="shared" ref="G66:G129" ca="1" si="7">E66*F66</f>
        <v>361.2</v>
      </c>
    </row>
    <row r="67" spans="1:7" x14ac:dyDescent="0.25">
      <c r="A67" s="1">
        <f t="shared" ref="A67:A130" ca="1" si="8">RANDBETWEEN(DATE(2024,1,1),DATE(2024,12,31))</f>
        <v>45405</v>
      </c>
      <c r="B67" t="str">
        <f t="shared" ref="B67:B130" ca="1" si="9">CHOOSE(RANDBETWEEN(1,10),"Store A","Store B","Store C","Store D","Store E","Store F","Store G","Store H","Store I","Store J")</f>
        <v>Store I</v>
      </c>
      <c r="C67" t="str">
        <f t="shared" ref="C67:C130" ca="1" si="10">CHOOSE(RANDBETWEEN(1,10),"Rep A","Rep B","Rep C","Rep D","Rep E","Rep F","Rep G","Rep H","Rep I","Rep J")</f>
        <v>Rep J</v>
      </c>
      <c r="D67" t="str">
        <f t="shared" ref="D67:D130" ca="1" si="11">CHOOSE(RANDBETWEEN(1,10),"Product A","Product B","Product C","Product D","Product E","Product F","Product G","Product H","Product I","Product J")</f>
        <v>Product C</v>
      </c>
      <c r="E67">
        <f t="shared" ref="E67:E130" ca="1" si="12">RANDBETWEEN(1,50)</f>
        <v>1</v>
      </c>
      <c r="F67" s="2">
        <f t="shared" ref="F67:F130" ca="1" si="13">ROUND(2+28*RAND(),2)</f>
        <v>19.989999999999998</v>
      </c>
      <c r="G67" s="2">
        <f t="shared" ca="1" si="7"/>
        <v>19.989999999999998</v>
      </c>
    </row>
    <row r="68" spans="1:7" x14ac:dyDescent="0.25">
      <c r="A68" s="1">
        <f t="shared" ca="1" si="8"/>
        <v>45400</v>
      </c>
      <c r="B68" t="str">
        <f t="shared" ca="1" si="9"/>
        <v>Store C</v>
      </c>
      <c r="C68" t="str">
        <f t="shared" ca="1" si="10"/>
        <v>Rep B</v>
      </c>
      <c r="D68" t="str">
        <f t="shared" ca="1" si="11"/>
        <v>Product J</v>
      </c>
      <c r="E68">
        <f t="shared" ca="1" si="12"/>
        <v>1</v>
      </c>
      <c r="F68" s="2">
        <f t="shared" ca="1" si="13"/>
        <v>14.89</v>
      </c>
      <c r="G68" s="2">
        <f t="shared" ca="1" si="7"/>
        <v>14.89</v>
      </c>
    </row>
    <row r="69" spans="1:7" x14ac:dyDescent="0.25">
      <c r="A69" s="1">
        <f t="shared" ca="1" si="8"/>
        <v>45641</v>
      </c>
      <c r="B69" t="str">
        <f t="shared" ca="1" si="9"/>
        <v>Store J</v>
      </c>
      <c r="C69" t="str">
        <f t="shared" ca="1" si="10"/>
        <v>Rep C</v>
      </c>
      <c r="D69" t="str">
        <f t="shared" ca="1" si="11"/>
        <v>Product H</v>
      </c>
      <c r="E69">
        <f t="shared" ca="1" si="12"/>
        <v>12</v>
      </c>
      <c r="F69" s="2">
        <f t="shared" ca="1" si="13"/>
        <v>18.739999999999998</v>
      </c>
      <c r="G69" s="2">
        <f t="shared" ca="1" si="7"/>
        <v>224.88</v>
      </c>
    </row>
    <row r="70" spans="1:7" x14ac:dyDescent="0.25">
      <c r="A70" s="1">
        <f t="shared" ca="1" si="8"/>
        <v>45303</v>
      </c>
      <c r="B70" t="str">
        <f t="shared" ca="1" si="9"/>
        <v>Store I</v>
      </c>
      <c r="C70" t="str">
        <f t="shared" ca="1" si="10"/>
        <v>Rep H</v>
      </c>
      <c r="D70" t="str">
        <f t="shared" ca="1" si="11"/>
        <v>Product F</v>
      </c>
      <c r="E70">
        <f t="shared" ca="1" si="12"/>
        <v>28</v>
      </c>
      <c r="F70" s="2">
        <f t="shared" ca="1" si="13"/>
        <v>10.66</v>
      </c>
      <c r="G70" s="2">
        <f t="shared" ca="1" si="7"/>
        <v>298.48</v>
      </c>
    </row>
    <row r="71" spans="1:7" x14ac:dyDescent="0.25">
      <c r="A71" s="1">
        <f t="shared" ca="1" si="8"/>
        <v>45446</v>
      </c>
      <c r="B71" t="str">
        <f t="shared" ca="1" si="9"/>
        <v>Store G</v>
      </c>
      <c r="C71" t="str">
        <f t="shared" ca="1" si="10"/>
        <v>Rep B</v>
      </c>
      <c r="D71" t="str">
        <f t="shared" ca="1" si="11"/>
        <v>Product F</v>
      </c>
      <c r="E71">
        <f t="shared" ca="1" si="12"/>
        <v>45</v>
      </c>
      <c r="F71" s="2">
        <f t="shared" ca="1" si="13"/>
        <v>14.34</v>
      </c>
      <c r="G71" s="2">
        <f t="shared" ca="1" si="7"/>
        <v>645.29999999999995</v>
      </c>
    </row>
    <row r="72" spans="1:7" x14ac:dyDescent="0.25">
      <c r="A72" s="1">
        <f t="shared" ca="1" si="8"/>
        <v>45599</v>
      </c>
      <c r="B72" t="str">
        <f t="shared" ca="1" si="9"/>
        <v>Store B</v>
      </c>
      <c r="C72" t="str">
        <f t="shared" ca="1" si="10"/>
        <v>Rep F</v>
      </c>
      <c r="D72" t="str">
        <f t="shared" ca="1" si="11"/>
        <v>Product D</v>
      </c>
      <c r="E72">
        <f t="shared" ca="1" si="12"/>
        <v>46</v>
      </c>
      <c r="F72" s="2">
        <f t="shared" ca="1" si="13"/>
        <v>9.6999999999999993</v>
      </c>
      <c r="G72" s="2">
        <f t="shared" ca="1" si="7"/>
        <v>446.2</v>
      </c>
    </row>
    <row r="73" spans="1:7" x14ac:dyDescent="0.25">
      <c r="A73" s="1">
        <f t="shared" ca="1" si="8"/>
        <v>45495</v>
      </c>
      <c r="B73" t="str">
        <f t="shared" ca="1" si="9"/>
        <v>Store G</v>
      </c>
      <c r="C73" t="str">
        <f t="shared" ca="1" si="10"/>
        <v>Rep C</v>
      </c>
      <c r="D73" t="str">
        <f t="shared" ca="1" si="11"/>
        <v>Product I</v>
      </c>
      <c r="E73">
        <f t="shared" ca="1" si="12"/>
        <v>14</v>
      </c>
      <c r="F73" s="2">
        <f t="shared" ca="1" si="13"/>
        <v>29.1</v>
      </c>
      <c r="G73" s="2">
        <f t="shared" ca="1" si="7"/>
        <v>407.40000000000003</v>
      </c>
    </row>
    <row r="74" spans="1:7" x14ac:dyDescent="0.25">
      <c r="A74" s="1">
        <f t="shared" ca="1" si="8"/>
        <v>45516</v>
      </c>
      <c r="B74" t="str">
        <f t="shared" ca="1" si="9"/>
        <v>Store E</v>
      </c>
      <c r="C74" t="str">
        <f t="shared" ca="1" si="10"/>
        <v>Rep G</v>
      </c>
      <c r="D74" t="str">
        <f t="shared" ca="1" si="11"/>
        <v>Product D</v>
      </c>
      <c r="E74">
        <f t="shared" ca="1" si="12"/>
        <v>5</v>
      </c>
      <c r="F74" s="2">
        <f t="shared" ca="1" si="13"/>
        <v>27.27</v>
      </c>
      <c r="G74" s="2">
        <f t="shared" ca="1" si="7"/>
        <v>136.35</v>
      </c>
    </row>
    <row r="75" spans="1:7" x14ac:dyDescent="0.25">
      <c r="A75" s="1">
        <f t="shared" ca="1" si="8"/>
        <v>45528</v>
      </c>
      <c r="B75" t="str">
        <f t="shared" ca="1" si="9"/>
        <v>Store H</v>
      </c>
      <c r="C75" t="str">
        <f t="shared" ca="1" si="10"/>
        <v>Rep I</v>
      </c>
      <c r="D75" t="str">
        <f t="shared" ca="1" si="11"/>
        <v>Product B</v>
      </c>
      <c r="E75">
        <f t="shared" ca="1" si="12"/>
        <v>6</v>
      </c>
      <c r="F75" s="2">
        <f t="shared" ca="1" si="13"/>
        <v>11.95</v>
      </c>
      <c r="G75" s="2">
        <f t="shared" ca="1" si="7"/>
        <v>71.699999999999989</v>
      </c>
    </row>
    <row r="76" spans="1:7" x14ac:dyDescent="0.25">
      <c r="A76" s="1">
        <f t="shared" ca="1" si="8"/>
        <v>45498</v>
      </c>
      <c r="B76" t="str">
        <f t="shared" ca="1" si="9"/>
        <v>Store I</v>
      </c>
      <c r="C76" t="str">
        <f t="shared" ca="1" si="10"/>
        <v>Rep J</v>
      </c>
      <c r="D76" t="str">
        <f t="shared" ca="1" si="11"/>
        <v>Product C</v>
      </c>
      <c r="E76">
        <f t="shared" ca="1" si="12"/>
        <v>15</v>
      </c>
      <c r="F76" s="2">
        <f t="shared" ca="1" si="13"/>
        <v>15.18</v>
      </c>
      <c r="G76" s="2">
        <f t="shared" ca="1" si="7"/>
        <v>227.7</v>
      </c>
    </row>
    <row r="77" spans="1:7" x14ac:dyDescent="0.25">
      <c r="A77" s="1">
        <f t="shared" ca="1" si="8"/>
        <v>45623</v>
      </c>
      <c r="B77" t="str">
        <f t="shared" ca="1" si="9"/>
        <v>Store G</v>
      </c>
      <c r="C77" t="str">
        <f t="shared" ca="1" si="10"/>
        <v>Rep C</v>
      </c>
      <c r="D77" t="str">
        <f t="shared" ca="1" si="11"/>
        <v>Product D</v>
      </c>
      <c r="E77">
        <f t="shared" ca="1" si="12"/>
        <v>13</v>
      </c>
      <c r="F77" s="2">
        <f t="shared" ca="1" si="13"/>
        <v>18.649999999999999</v>
      </c>
      <c r="G77" s="2">
        <f t="shared" ca="1" si="7"/>
        <v>242.45</v>
      </c>
    </row>
    <row r="78" spans="1:7" x14ac:dyDescent="0.25">
      <c r="A78" s="1">
        <f t="shared" ca="1" si="8"/>
        <v>45509</v>
      </c>
      <c r="B78" t="str">
        <f t="shared" ca="1" si="9"/>
        <v>Store D</v>
      </c>
      <c r="C78" t="str">
        <f t="shared" ca="1" si="10"/>
        <v>Rep E</v>
      </c>
      <c r="D78" t="str">
        <f t="shared" ca="1" si="11"/>
        <v>Product E</v>
      </c>
      <c r="E78">
        <f t="shared" ca="1" si="12"/>
        <v>34</v>
      </c>
      <c r="F78" s="2">
        <f t="shared" ca="1" si="13"/>
        <v>28.05</v>
      </c>
      <c r="G78" s="2">
        <f t="shared" ca="1" si="7"/>
        <v>953.7</v>
      </c>
    </row>
    <row r="79" spans="1:7" x14ac:dyDescent="0.25">
      <c r="A79" s="1">
        <f t="shared" ca="1" si="8"/>
        <v>45483</v>
      </c>
      <c r="B79" t="str">
        <f t="shared" ca="1" si="9"/>
        <v>Store J</v>
      </c>
      <c r="C79" t="str">
        <f t="shared" ca="1" si="10"/>
        <v>Rep A</v>
      </c>
      <c r="D79" t="str">
        <f t="shared" ca="1" si="11"/>
        <v>Product C</v>
      </c>
      <c r="E79">
        <f t="shared" ca="1" si="12"/>
        <v>11</v>
      </c>
      <c r="F79" s="2">
        <f t="shared" ca="1" si="13"/>
        <v>8.1999999999999993</v>
      </c>
      <c r="G79" s="2">
        <f t="shared" ca="1" si="7"/>
        <v>90.199999999999989</v>
      </c>
    </row>
    <row r="80" spans="1:7" x14ac:dyDescent="0.25">
      <c r="A80" s="1">
        <f t="shared" ca="1" si="8"/>
        <v>45502</v>
      </c>
      <c r="B80" t="str">
        <f t="shared" ca="1" si="9"/>
        <v>Store H</v>
      </c>
      <c r="C80" t="str">
        <f t="shared" ca="1" si="10"/>
        <v>Rep E</v>
      </c>
      <c r="D80" t="str">
        <f t="shared" ca="1" si="11"/>
        <v>Product C</v>
      </c>
      <c r="E80">
        <f t="shared" ca="1" si="12"/>
        <v>24</v>
      </c>
      <c r="F80" s="2">
        <f t="shared" ca="1" si="13"/>
        <v>27.83</v>
      </c>
      <c r="G80" s="2">
        <f t="shared" ca="1" si="7"/>
        <v>667.92</v>
      </c>
    </row>
    <row r="81" spans="1:7" x14ac:dyDescent="0.25">
      <c r="A81" s="1">
        <f t="shared" ca="1" si="8"/>
        <v>45550</v>
      </c>
      <c r="B81" t="str">
        <f t="shared" ca="1" si="9"/>
        <v>Store C</v>
      </c>
      <c r="C81" t="str">
        <f t="shared" ca="1" si="10"/>
        <v>Rep F</v>
      </c>
      <c r="D81" t="str">
        <f t="shared" ca="1" si="11"/>
        <v>Product A</v>
      </c>
      <c r="E81">
        <f t="shared" ca="1" si="12"/>
        <v>41</v>
      </c>
      <c r="F81" s="2">
        <f t="shared" ca="1" si="13"/>
        <v>10.65</v>
      </c>
      <c r="G81" s="2">
        <f t="shared" ca="1" si="7"/>
        <v>436.65000000000003</v>
      </c>
    </row>
    <row r="82" spans="1:7" x14ac:dyDescent="0.25">
      <c r="A82" s="1">
        <f t="shared" ca="1" si="8"/>
        <v>45626</v>
      </c>
      <c r="B82" t="str">
        <f t="shared" ca="1" si="9"/>
        <v>Store F</v>
      </c>
      <c r="C82" t="str">
        <f t="shared" ca="1" si="10"/>
        <v>Rep A</v>
      </c>
      <c r="D82" t="str">
        <f t="shared" ca="1" si="11"/>
        <v>Product A</v>
      </c>
      <c r="E82">
        <f t="shared" ca="1" si="12"/>
        <v>39</v>
      </c>
      <c r="F82" s="2">
        <f t="shared" ca="1" si="13"/>
        <v>7.03</v>
      </c>
      <c r="G82" s="2">
        <f t="shared" ca="1" si="7"/>
        <v>274.17</v>
      </c>
    </row>
    <row r="83" spans="1:7" x14ac:dyDescent="0.25">
      <c r="A83" s="1">
        <f t="shared" ca="1" si="8"/>
        <v>45590</v>
      </c>
      <c r="B83" t="str">
        <f t="shared" ca="1" si="9"/>
        <v>Store I</v>
      </c>
      <c r="C83" t="str">
        <f t="shared" ca="1" si="10"/>
        <v>Rep F</v>
      </c>
      <c r="D83" t="str">
        <f t="shared" ca="1" si="11"/>
        <v>Product A</v>
      </c>
      <c r="E83">
        <f t="shared" ca="1" si="12"/>
        <v>34</v>
      </c>
      <c r="F83" s="2">
        <f t="shared" ca="1" si="13"/>
        <v>9.2899999999999991</v>
      </c>
      <c r="G83" s="2">
        <f t="shared" ca="1" si="7"/>
        <v>315.85999999999996</v>
      </c>
    </row>
    <row r="84" spans="1:7" x14ac:dyDescent="0.25">
      <c r="A84" s="1">
        <f t="shared" ca="1" si="8"/>
        <v>45321</v>
      </c>
      <c r="B84" t="str">
        <f t="shared" ca="1" si="9"/>
        <v>Store I</v>
      </c>
      <c r="C84" t="str">
        <f t="shared" ca="1" si="10"/>
        <v>Rep D</v>
      </c>
      <c r="D84" t="str">
        <f t="shared" ca="1" si="11"/>
        <v>Product A</v>
      </c>
      <c r="E84">
        <f t="shared" ca="1" si="12"/>
        <v>41</v>
      </c>
      <c r="F84" s="2">
        <f t="shared" ca="1" si="13"/>
        <v>18.010000000000002</v>
      </c>
      <c r="G84" s="2">
        <f t="shared" ca="1" si="7"/>
        <v>738.41000000000008</v>
      </c>
    </row>
    <row r="85" spans="1:7" x14ac:dyDescent="0.25">
      <c r="A85" s="1">
        <f t="shared" ca="1" si="8"/>
        <v>45406</v>
      </c>
      <c r="B85" t="str">
        <f t="shared" ca="1" si="9"/>
        <v>Store D</v>
      </c>
      <c r="C85" t="str">
        <f t="shared" ca="1" si="10"/>
        <v>Rep I</v>
      </c>
      <c r="D85" t="str">
        <f t="shared" ca="1" si="11"/>
        <v>Product C</v>
      </c>
      <c r="E85">
        <f t="shared" ca="1" si="12"/>
        <v>32</v>
      </c>
      <c r="F85" s="2">
        <f t="shared" ca="1" si="13"/>
        <v>29.13</v>
      </c>
      <c r="G85" s="2">
        <f t="shared" ca="1" si="7"/>
        <v>932.16</v>
      </c>
    </row>
    <row r="86" spans="1:7" x14ac:dyDescent="0.25">
      <c r="A86" s="1">
        <f t="shared" ca="1" si="8"/>
        <v>45637</v>
      </c>
      <c r="B86" t="str">
        <f t="shared" ca="1" si="9"/>
        <v>Store E</v>
      </c>
      <c r="C86" t="str">
        <f t="shared" ca="1" si="10"/>
        <v>Rep A</v>
      </c>
      <c r="D86" t="str">
        <f t="shared" ca="1" si="11"/>
        <v>Product F</v>
      </c>
      <c r="E86">
        <f t="shared" ca="1" si="12"/>
        <v>17</v>
      </c>
      <c r="F86" s="2">
        <f t="shared" ca="1" si="13"/>
        <v>11.19</v>
      </c>
      <c r="G86" s="2">
        <f t="shared" ca="1" si="7"/>
        <v>190.23</v>
      </c>
    </row>
    <row r="87" spans="1:7" x14ac:dyDescent="0.25">
      <c r="A87" s="1">
        <f t="shared" ca="1" si="8"/>
        <v>45548</v>
      </c>
      <c r="B87" t="str">
        <f t="shared" ca="1" si="9"/>
        <v>Store C</v>
      </c>
      <c r="C87" t="str">
        <f t="shared" ca="1" si="10"/>
        <v>Rep C</v>
      </c>
      <c r="D87" t="str">
        <f t="shared" ca="1" si="11"/>
        <v>Product H</v>
      </c>
      <c r="E87">
        <f t="shared" ca="1" si="12"/>
        <v>17</v>
      </c>
      <c r="F87" s="2">
        <f t="shared" ca="1" si="13"/>
        <v>29.91</v>
      </c>
      <c r="G87" s="2">
        <f t="shared" ca="1" si="7"/>
        <v>508.47</v>
      </c>
    </row>
    <row r="88" spans="1:7" x14ac:dyDescent="0.25">
      <c r="A88" s="1">
        <f t="shared" ca="1" si="8"/>
        <v>45431</v>
      </c>
      <c r="B88" t="str">
        <f t="shared" ca="1" si="9"/>
        <v>Store J</v>
      </c>
      <c r="C88" t="str">
        <f t="shared" ca="1" si="10"/>
        <v>Rep C</v>
      </c>
      <c r="D88" t="str">
        <f t="shared" ca="1" si="11"/>
        <v>Product C</v>
      </c>
      <c r="E88">
        <f t="shared" ca="1" si="12"/>
        <v>18</v>
      </c>
      <c r="F88" s="2">
        <f t="shared" ca="1" si="13"/>
        <v>29.81</v>
      </c>
      <c r="G88" s="2">
        <f t="shared" ca="1" si="7"/>
        <v>536.57999999999993</v>
      </c>
    </row>
    <row r="89" spans="1:7" x14ac:dyDescent="0.25">
      <c r="A89" s="1">
        <f t="shared" ca="1" si="8"/>
        <v>45434</v>
      </c>
      <c r="B89" t="str">
        <f t="shared" ca="1" si="9"/>
        <v>Store B</v>
      </c>
      <c r="C89" t="str">
        <f t="shared" ca="1" si="10"/>
        <v>Rep I</v>
      </c>
      <c r="D89" t="str">
        <f t="shared" ca="1" si="11"/>
        <v>Product B</v>
      </c>
      <c r="E89">
        <f t="shared" ca="1" si="12"/>
        <v>35</v>
      </c>
      <c r="F89" s="2">
        <f t="shared" ca="1" si="13"/>
        <v>23.79</v>
      </c>
      <c r="G89" s="2">
        <f t="shared" ca="1" si="7"/>
        <v>832.65</v>
      </c>
    </row>
    <row r="90" spans="1:7" x14ac:dyDescent="0.25">
      <c r="A90" s="1">
        <f t="shared" ca="1" si="8"/>
        <v>45449</v>
      </c>
      <c r="B90" t="str">
        <f t="shared" ca="1" si="9"/>
        <v>Store H</v>
      </c>
      <c r="C90" t="str">
        <f t="shared" ca="1" si="10"/>
        <v>Rep D</v>
      </c>
      <c r="D90" t="str">
        <f t="shared" ca="1" si="11"/>
        <v>Product E</v>
      </c>
      <c r="E90">
        <f t="shared" ca="1" si="12"/>
        <v>20</v>
      </c>
      <c r="F90" s="2">
        <f t="shared" ca="1" si="13"/>
        <v>4.24</v>
      </c>
      <c r="G90" s="2">
        <f t="shared" ca="1" si="7"/>
        <v>84.800000000000011</v>
      </c>
    </row>
    <row r="91" spans="1:7" x14ac:dyDescent="0.25">
      <c r="A91" s="1">
        <f t="shared" ca="1" si="8"/>
        <v>45449</v>
      </c>
      <c r="B91" t="str">
        <f t="shared" ca="1" si="9"/>
        <v>Store D</v>
      </c>
      <c r="C91" t="str">
        <f t="shared" ca="1" si="10"/>
        <v>Rep G</v>
      </c>
      <c r="D91" t="str">
        <f t="shared" ca="1" si="11"/>
        <v>Product F</v>
      </c>
      <c r="E91">
        <f t="shared" ca="1" si="12"/>
        <v>43</v>
      </c>
      <c r="F91" s="2">
        <f t="shared" ca="1" si="13"/>
        <v>16.18</v>
      </c>
      <c r="G91" s="2">
        <f t="shared" ca="1" si="7"/>
        <v>695.74</v>
      </c>
    </row>
    <row r="92" spans="1:7" x14ac:dyDescent="0.25">
      <c r="A92" s="1">
        <f t="shared" ca="1" si="8"/>
        <v>45451</v>
      </c>
      <c r="B92" t="str">
        <f t="shared" ca="1" si="9"/>
        <v>Store D</v>
      </c>
      <c r="C92" t="str">
        <f t="shared" ca="1" si="10"/>
        <v>Rep J</v>
      </c>
      <c r="D92" t="str">
        <f t="shared" ca="1" si="11"/>
        <v>Product D</v>
      </c>
      <c r="E92">
        <f t="shared" ca="1" si="12"/>
        <v>11</v>
      </c>
      <c r="F92" s="2">
        <f t="shared" ca="1" si="13"/>
        <v>11.47</v>
      </c>
      <c r="G92" s="2">
        <f t="shared" ca="1" si="7"/>
        <v>126.17</v>
      </c>
    </row>
    <row r="93" spans="1:7" x14ac:dyDescent="0.25">
      <c r="A93" s="1">
        <f t="shared" ca="1" si="8"/>
        <v>45597</v>
      </c>
      <c r="B93" t="str">
        <f t="shared" ca="1" si="9"/>
        <v>Store B</v>
      </c>
      <c r="C93" t="str">
        <f t="shared" ca="1" si="10"/>
        <v>Rep A</v>
      </c>
      <c r="D93" t="str">
        <f t="shared" ca="1" si="11"/>
        <v>Product G</v>
      </c>
      <c r="E93">
        <f t="shared" ca="1" si="12"/>
        <v>38</v>
      </c>
      <c r="F93" s="2">
        <f t="shared" ca="1" si="13"/>
        <v>6</v>
      </c>
      <c r="G93" s="2">
        <f t="shared" ca="1" si="7"/>
        <v>228</v>
      </c>
    </row>
    <row r="94" spans="1:7" x14ac:dyDescent="0.25">
      <c r="A94" s="1">
        <f t="shared" ca="1" si="8"/>
        <v>45396</v>
      </c>
      <c r="B94" t="str">
        <f t="shared" ca="1" si="9"/>
        <v>Store A</v>
      </c>
      <c r="C94" t="str">
        <f t="shared" ca="1" si="10"/>
        <v>Rep B</v>
      </c>
      <c r="D94" t="str">
        <f t="shared" ca="1" si="11"/>
        <v>Product A</v>
      </c>
      <c r="E94">
        <f t="shared" ca="1" si="12"/>
        <v>12</v>
      </c>
      <c r="F94" s="2">
        <f t="shared" ca="1" si="13"/>
        <v>2.77</v>
      </c>
      <c r="G94" s="2">
        <f t="shared" ca="1" si="7"/>
        <v>33.24</v>
      </c>
    </row>
    <row r="95" spans="1:7" x14ac:dyDescent="0.25">
      <c r="A95" s="1">
        <f t="shared" ca="1" si="8"/>
        <v>45341</v>
      </c>
      <c r="B95" t="str">
        <f t="shared" ca="1" si="9"/>
        <v>Store G</v>
      </c>
      <c r="C95" t="str">
        <f t="shared" ca="1" si="10"/>
        <v>Rep H</v>
      </c>
      <c r="D95" t="str">
        <f t="shared" ca="1" si="11"/>
        <v>Product J</v>
      </c>
      <c r="E95">
        <f t="shared" ca="1" si="12"/>
        <v>41</v>
      </c>
      <c r="F95" s="2">
        <f t="shared" ca="1" si="13"/>
        <v>28.47</v>
      </c>
      <c r="G95" s="2">
        <f t="shared" ca="1" si="7"/>
        <v>1167.27</v>
      </c>
    </row>
    <row r="96" spans="1:7" x14ac:dyDescent="0.25">
      <c r="A96" s="1">
        <f t="shared" ca="1" si="8"/>
        <v>45373</v>
      </c>
      <c r="B96" t="str">
        <f t="shared" ca="1" si="9"/>
        <v>Store H</v>
      </c>
      <c r="C96" t="str">
        <f t="shared" ca="1" si="10"/>
        <v>Rep H</v>
      </c>
      <c r="D96" t="str">
        <f t="shared" ca="1" si="11"/>
        <v>Product E</v>
      </c>
      <c r="E96">
        <f t="shared" ca="1" si="12"/>
        <v>10</v>
      </c>
      <c r="F96" s="2">
        <f t="shared" ca="1" si="13"/>
        <v>28.56</v>
      </c>
      <c r="G96" s="2">
        <f t="shared" ca="1" si="7"/>
        <v>285.59999999999997</v>
      </c>
    </row>
    <row r="97" spans="1:7" x14ac:dyDescent="0.25">
      <c r="A97" s="1">
        <f t="shared" ca="1" si="8"/>
        <v>45540</v>
      </c>
      <c r="B97" t="str">
        <f t="shared" ca="1" si="9"/>
        <v>Store J</v>
      </c>
      <c r="C97" t="str">
        <f t="shared" ca="1" si="10"/>
        <v>Rep B</v>
      </c>
      <c r="D97" t="str">
        <f t="shared" ca="1" si="11"/>
        <v>Product I</v>
      </c>
      <c r="E97">
        <f t="shared" ca="1" si="12"/>
        <v>39</v>
      </c>
      <c r="F97" s="2">
        <f t="shared" ca="1" si="13"/>
        <v>4.6399999999999997</v>
      </c>
      <c r="G97" s="2">
        <f t="shared" ca="1" si="7"/>
        <v>180.95999999999998</v>
      </c>
    </row>
    <row r="98" spans="1:7" x14ac:dyDescent="0.25">
      <c r="A98" s="1">
        <f t="shared" ca="1" si="8"/>
        <v>45425</v>
      </c>
      <c r="B98" t="str">
        <f t="shared" ca="1" si="9"/>
        <v>Store G</v>
      </c>
      <c r="C98" t="str">
        <f t="shared" ca="1" si="10"/>
        <v>Rep J</v>
      </c>
      <c r="D98" t="str">
        <f t="shared" ca="1" si="11"/>
        <v>Product I</v>
      </c>
      <c r="E98">
        <f t="shared" ca="1" si="12"/>
        <v>29</v>
      </c>
      <c r="F98" s="2">
        <f t="shared" ca="1" si="13"/>
        <v>10.07</v>
      </c>
      <c r="G98" s="2">
        <f t="shared" ca="1" si="7"/>
        <v>292.03000000000003</v>
      </c>
    </row>
    <row r="99" spans="1:7" x14ac:dyDescent="0.25">
      <c r="A99" s="1">
        <f t="shared" ca="1" si="8"/>
        <v>45518</v>
      </c>
      <c r="B99" t="str">
        <f t="shared" ca="1" si="9"/>
        <v>Store I</v>
      </c>
      <c r="C99" t="str">
        <f t="shared" ca="1" si="10"/>
        <v>Rep C</v>
      </c>
      <c r="D99" t="str">
        <f t="shared" ca="1" si="11"/>
        <v>Product E</v>
      </c>
      <c r="E99">
        <f t="shared" ca="1" si="12"/>
        <v>38</v>
      </c>
      <c r="F99" s="2">
        <f t="shared" ca="1" si="13"/>
        <v>28.55</v>
      </c>
      <c r="G99" s="2">
        <f t="shared" ca="1" si="7"/>
        <v>1084.9000000000001</v>
      </c>
    </row>
    <row r="100" spans="1:7" x14ac:dyDescent="0.25">
      <c r="A100" s="1">
        <f t="shared" ca="1" si="8"/>
        <v>45337</v>
      </c>
      <c r="B100" t="str">
        <f t="shared" ca="1" si="9"/>
        <v>Store A</v>
      </c>
      <c r="C100" t="str">
        <f t="shared" ca="1" si="10"/>
        <v>Rep E</v>
      </c>
      <c r="D100" t="str">
        <f t="shared" ca="1" si="11"/>
        <v>Product F</v>
      </c>
      <c r="E100">
        <f t="shared" ca="1" si="12"/>
        <v>36</v>
      </c>
      <c r="F100" s="2">
        <f t="shared" ca="1" si="13"/>
        <v>13.38</v>
      </c>
      <c r="G100" s="2">
        <f t="shared" ca="1" si="7"/>
        <v>481.68</v>
      </c>
    </row>
    <row r="101" spans="1:7" x14ac:dyDescent="0.25">
      <c r="A101" s="1">
        <f t="shared" ca="1" si="8"/>
        <v>45433</v>
      </c>
      <c r="B101" t="str">
        <f t="shared" ca="1" si="9"/>
        <v>Store E</v>
      </c>
      <c r="C101" t="str">
        <f t="shared" ca="1" si="10"/>
        <v>Rep D</v>
      </c>
      <c r="D101" t="str">
        <f t="shared" ca="1" si="11"/>
        <v>Product E</v>
      </c>
      <c r="E101">
        <f t="shared" ca="1" si="12"/>
        <v>7</v>
      </c>
      <c r="F101" s="2">
        <f t="shared" ca="1" si="13"/>
        <v>20.83</v>
      </c>
      <c r="G101" s="2">
        <f t="shared" ca="1" si="7"/>
        <v>145.81</v>
      </c>
    </row>
    <row r="102" spans="1:7" x14ac:dyDescent="0.25">
      <c r="A102" s="1">
        <f t="shared" ca="1" si="8"/>
        <v>45604</v>
      </c>
      <c r="B102" t="str">
        <f t="shared" ca="1" si="9"/>
        <v>Store I</v>
      </c>
      <c r="C102" t="str">
        <f t="shared" ca="1" si="10"/>
        <v>Rep F</v>
      </c>
      <c r="D102" t="str">
        <f t="shared" ca="1" si="11"/>
        <v>Product E</v>
      </c>
      <c r="E102">
        <f t="shared" ca="1" si="12"/>
        <v>34</v>
      </c>
      <c r="F102" s="2">
        <f t="shared" ca="1" si="13"/>
        <v>25.51</v>
      </c>
      <c r="G102" s="2">
        <f t="shared" ca="1" si="7"/>
        <v>867.34</v>
      </c>
    </row>
    <row r="103" spans="1:7" x14ac:dyDescent="0.25">
      <c r="A103" s="1">
        <f t="shared" ca="1" si="8"/>
        <v>45334</v>
      </c>
      <c r="B103" t="str">
        <f t="shared" ca="1" si="9"/>
        <v>Store J</v>
      </c>
      <c r="C103" t="str">
        <f t="shared" ca="1" si="10"/>
        <v>Rep H</v>
      </c>
      <c r="D103" t="str">
        <f t="shared" ca="1" si="11"/>
        <v>Product A</v>
      </c>
      <c r="E103">
        <f t="shared" ca="1" si="12"/>
        <v>32</v>
      </c>
      <c r="F103" s="2">
        <f t="shared" ca="1" si="13"/>
        <v>5.99</v>
      </c>
      <c r="G103" s="2">
        <f t="shared" ca="1" si="7"/>
        <v>191.68</v>
      </c>
    </row>
    <row r="104" spans="1:7" x14ac:dyDescent="0.25">
      <c r="A104" s="1">
        <f t="shared" ca="1" si="8"/>
        <v>45364</v>
      </c>
      <c r="B104" t="str">
        <f t="shared" ca="1" si="9"/>
        <v>Store A</v>
      </c>
      <c r="C104" t="str">
        <f t="shared" ca="1" si="10"/>
        <v>Rep J</v>
      </c>
      <c r="D104" t="str">
        <f t="shared" ca="1" si="11"/>
        <v>Product E</v>
      </c>
      <c r="E104">
        <f t="shared" ca="1" si="12"/>
        <v>25</v>
      </c>
      <c r="F104" s="2">
        <f t="shared" ca="1" si="13"/>
        <v>15.32</v>
      </c>
      <c r="G104" s="2">
        <f t="shared" ca="1" si="7"/>
        <v>383</v>
      </c>
    </row>
    <row r="105" spans="1:7" x14ac:dyDescent="0.25">
      <c r="A105" s="1">
        <f t="shared" ca="1" si="8"/>
        <v>45357</v>
      </c>
      <c r="B105" t="str">
        <f t="shared" ca="1" si="9"/>
        <v>Store E</v>
      </c>
      <c r="C105" t="str">
        <f t="shared" ca="1" si="10"/>
        <v>Rep C</v>
      </c>
      <c r="D105" t="str">
        <f t="shared" ca="1" si="11"/>
        <v>Product G</v>
      </c>
      <c r="E105">
        <f t="shared" ca="1" si="12"/>
        <v>2</v>
      </c>
      <c r="F105" s="2">
        <f t="shared" ca="1" si="13"/>
        <v>2.9</v>
      </c>
      <c r="G105" s="2">
        <f t="shared" ca="1" si="7"/>
        <v>5.8</v>
      </c>
    </row>
    <row r="106" spans="1:7" x14ac:dyDescent="0.25">
      <c r="A106" s="1">
        <f t="shared" ca="1" si="8"/>
        <v>45497</v>
      </c>
      <c r="B106" t="str">
        <f t="shared" ca="1" si="9"/>
        <v>Store A</v>
      </c>
      <c r="C106" t="str">
        <f t="shared" ca="1" si="10"/>
        <v>Rep G</v>
      </c>
      <c r="D106" t="str">
        <f t="shared" ca="1" si="11"/>
        <v>Product A</v>
      </c>
      <c r="E106">
        <f t="shared" ca="1" si="12"/>
        <v>30</v>
      </c>
      <c r="F106" s="2">
        <f t="shared" ca="1" si="13"/>
        <v>7.13</v>
      </c>
      <c r="G106" s="2">
        <f t="shared" ca="1" si="7"/>
        <v>213.9</v>
      </c>
    </row>
    <row r="107" spans="1:7" x14ac:dyDescent="0.25">
      <c r="A107" s="1">
        <f t="shared" ca="1" si="8"/>
        <v>45636</v>
      </c>
      <c r="B107" t="str">
        <f t="shared" ca="1" si="9"/>
        <v>Store F</v>
      </c>
      <c r="C107" t="str">
        <f t="shared" ca="1" si="10"/>
        <v>Rep C</v>
      </c>
      <c r="D107" t="str">
        <f t="shared" ca="1" si="11"/>
        <v>Product I</v>
      </c>
      <c r="E107">
        <f t="shared" ca="1" si="12"/>
        <v>11</v>
      </c>
      <c r="F107" s="2">
        <f t="shared" ca="1" si="13"/>
        <v>16.53</v>
      </c>
      <c r="G107" s="2">
        <f t="shared" ca="1" si="7"/>
        <v>181.83</v>
      </c>
    </row>
    <row r="108" spans="1:7" x14ac:dyDescent="0.25">
      <c r="A108" s="1">
        <f t="shared" ca="1" si="8"/>
        <v>45317</v>
      </c>
      <c r="B108" t="str">
        <f t="shared" ca="1" si="9"/>
        <v>Store I</v>
      </c>
      <c r="C108" t="str">
        <f t="shared" ca="1" si="10"/>
        <v>Rep H</v>
      </c>
      <c r="D108" t="str">
        <f t="shared" ca="1" si="11"/>
        <v>Product C</v>
      </c>
      <c r="E108">
        <f t="shared" ca="1" si="12"/>
        <v>9</v>
      </c>
      <c r="F108" s="2">
        <f t="shared" ca="1" si="13"/>
        <v>12.1</v>
      </c>
      <c r="G108" s="2">
        <f t="shared" ca="1" si="7"/>
        <v>108.89999999999999</v>
      </c>
    </row>
    <row r="109" spans="1:7" x14ac:dyDescent="0.25">
      <c r="A109" s="1">
        <f t="shared" ca="1" si="8"/>
        <v>45305</v>
      </c>
      <c r="B109" t="str">
        <f t="shared" ca="1" si="9"/>
        <v>Store J</v>
      </c>
      <c r="C109" t="str">
        <f t="shared" ca="1" si="10"/>
        <v>Rep C</v>
      </c>
      <c r="D109" t="str">
        <f t="shared" ca="1" si="11"/>
        <v>Product I</v>
      </c>
      <c r="E109">
        <f t="shared" ca="1" si="12"/>
        <v>46</v>
      </c>
      <c r="F109" s="2">
        <f t="shared" ca="1" si="13"/>
        <v>5.31</v>
      </c>
      <c r="G109" s="2">
        <f t="shared" ca="1" si="7"/>
        <v>244.26</v>
      </c>
    </row>
    <row r="110" spans="1:7" x14ac:dyDescent="0.25">
      <c r="A110" s="1">
        <f t="shared" ca="1" si="8"/>
        <v>45644</v>
      </c>
      <c r="B110" t="str">
        <f t="shared" ca="1" si="9"/>
        <v>Store B</v>
      </c>
      <c r="C110" t="str">
        <f t="shared" ca="1" si="10"/>
        <v>Rep J</v>
      </c>
      <c r="D110" t="str">
        <f t="shared" ca="1" si="11"/>
        <v>Product H</v>
      </c>
      <c r="E110">
        <f t="shared" ca="1" si="12"/>
        <v>26</v>
      </c>
      <c r="F110" s="2">
        <f t="shared" ca="1" si="13"/>
        <v>22.72</v>
      </c>
      <c r="G110" s="2">
        <f t="shared" ca="1" si="7"/>
        <v>590.72</v>
      </c>
    </row>
    <row r="111" spans="1:7" x14ac:dyDescent="0.25">
      <c r="A111" s="1">
        <f t="shared" ca="1" si="8"/>
        <v>45436</v>
      </c>
      <c r="B111" t="str">
        <f t="shared" ca="1" si="9"/>
        <v>Store E</v>
      </c>
      <c r="C111" t="str">
        <f t="shared" ca="1" si="10"/>
        <v>Rep C</v>
      </c>
      <c r="D111" t="str">
        <f t="shared" ca="1" si="11"/>
        <v>Product D</v>
      </c>
      <c r="E111">
        <f t="shared" ca="1" si="12"/>
        <v>29</v>
      </c>
      <c r="F111" s="2">
        <f t="shared" ca="1" si="13"/>
        <v>15.16</v>
      </c>
      <c r="G111" s="2">
        <f t="shared" ca="1" si="7"/>
        <v>439.64</v>
      </c>
    </row>
    <row r="112" spans="1:7" x14ac:dyDescent="0.25">
      <c r="A112" s="1">
        <f t="shared" ca="1" si="8"/>
        <v>45357</v>
      </c>
      <c r="B112" t="str">
        <f t="shared" ca="1" si="9"/>
        <v>Store H</v>
      </c>
      <c r="C112" t="str">
        <f t="shared" ca="1" si="10"/>
        <v>Rep J</v>
      </c>
      <c r="D112" t="str">
        <f t="shared" ca="1" si="11"/>
        <v>Product G</v>
      </c>
      <c r="E112">
        <f t="shared" ca="1" si="12"/>
        <v>47</v>
      </c>
      <c r="F112" s="2">
        <f t="shared" ca="1" si="13"/>
        <v>16.05</v>
      </c>
      <c r="G112" s="2">
        <f t="shared" ca="1" si="7"/>
        <v>754.35</v>
      </c>
    </row>
    <row r="113" spans="1:7" x14ac:dyDescent="0.25">
      <c r="A113" s="1">
        <f t="shared" ca="1" si="8"/>
        <v>45644</v>
      </c>
      <c r="B113" t="str">
        <f t="shared" ca="1" si="9"/>
        <v>Store D</v>
      </c>
      <c r="C113" t="str">
        <f t="shared" ca="1" si="10"/>
        <v>Rep I</v>
      </c>
      <c r="D113" t="str">
        <f t="shared" ca="1" si="11"/>
        <v>Product F</v>
      </c>
      <c r="E113">
        <f t="shared" ca="1" si="12"/>
        <v>29</v>
      </c>
      <c r="F113" s="2">
        <f t="shared" ca="1" si="13"/>
        <v>20.8</v>
      </c>
      <c r="G113" s="2">
        <f t="shared" ca="1" si="7"/>
        <v>603.20000000000005</v>
      </c>
    </row>
    <row r="114" spans="1:7" x14ac:dyDescent="0.25">
      <c r="A114" s="1">
        <f t="shared" ca="1" si="8"/>
        <v>45496</v>
      </c>
      <c r="B114" t="str">
        <f t="shared" ca="1" si="9"/>
        <v>Store E</v>
      </c>
      <c r="C114" t="str">
        <f t="shared" ca="1" si="10"/>
        <v>Rep D</v>
      </c>
      <c r="D114" t="str">
        <f t="shared" ca="1" si="11"/>
        <v>Product I</v>
      </c>
      <c r="E114">
        <f t="shared" ca="1" si="12"/>
        <v>47</v>
      </c>
      <c r="F114" s="2">
        <f t="shared" ca="1" si="13"/>
        <v>16.66</v>
      </c>
      <c r="G114" s="2">
        <f t="shared" ca="1" si="7"/>
        <v>783.02</v>
      </c>
    </row>
    <row r="115" spans="1:7" x14ac:dyDescent="0.25">
      <c r="A115" s="1">
        <f t="shared" ca="1" si="8"/>
        <v>45401</v>
      </c>
      <c r="B115" t="str">
        <f t="shared" ca="1" si="9"/>
        <v>Store F</v>
      </c>
      <c r="C115" t="str">
        <f t="shared" ca="1" si="10"/>
        <v>Rep I</v>
      </c>
      <c r="D115" t="str">
        <f t="shared" ca="1" si="11"/>
        <v>Product F</v>
      </c>
      <c r="E115">
        <f t="shared" ca="1" si="12"/>
        <v>6</v>
      </c>
      <c r="F115" s="2">
        <f t="shared" ca="1" si="13"/>
        <v>5.01</v>
      </c>
      <c r="G115" s="2">
        <f t="shared" ca="1" si="7"/>
        <v>30.06</v>
      </c>
    </row>
    <row r="116" spans="1:7" x14ac:dyDescent="0.25">
      <c r="A116" s="1">
        <f t="shared" ca="1" si="8"/>
        <v>45496</v>
      </c>
      <c r="B116" t="str">
        <f t="shared" ca="1" si="9"/>
        <v>Store C</v>
      </c>
      <c r="C116" t="str">
        <f t="shared" ca="1" si="10"/>
        <v>Rep J</v>
      </c>
      <c r="D116" t="str">
        <f t="shared" ca="1" si="11"/>
        <v>Product A</v>
      </c>
      <c r="E116">
        <f t="shared" ca="1" si="12"/>
        <v>19</v>
      </c>
      <c r="F116" s="2">
        <f t="shared" ca="1" si="13"/>
        <v>16.25</v>
      </c>
      <c r="G116" s="2">
        <f t="shared" ca="1" si="7"/>
        <v>308.75</v>
      </c>
    </row>
    <row r="117" spans="1:7" x14ac:dyDescent="0.25">
      <c r="A117" s="1">
        <f t="shared" ca="1" si="8"/>
        <v>45341</v>
      </c>
      <c r="B117" t="str">
        <f t="shared" ca="1" si="9"/>
        <v>Store D</v>
      </c>
      <c r="C117" t="str">
        <f t="shared" ca="1" si="10"/>
        <v>Rep E</v>
      </c>
      <c r="D117" t="str">
        <f t="shared" ca="1" si="11"/>
        <v>Product B</v>
      </c>
      <c r="E117">
        <f t="shared" ca="1" si="12"/>
        <v>11</v>
      </c>
      <c r="F117" s="2">
        <f t="shared" ca="1" si="13"/>
        <v>23.53</v>
      </c>
      <c r="G117" s="2">
        <f t="shared" ca="1" si="7"/>
        <v>258.83000000000004</v>
      </c>
    </row>
    <row r="118" spans="1:7" x14ac:dyDescent="0.25">
      <c r="A118" s="1">
        <f t="shared" ca="1" si="8"/>
        <v>45404</v>
      </c>
      <c r="B118" t="str">
        <f t="shared" ca="1" si="9"/>
        <v>Store A</v>
      </c>
      <c r="C118" t="str">
        <f t="shared" ca="1" si="10"/>
        <v>Rep I</v>
      </c>
      <c r="D118" t="str">
        <f t="shared" ca="1" si="11"/>
        <v>Product H</v>
      </c>
      <c r="E118">
        <f t="shared" ca="1" si="12"/>
        <v>12</v>
      </c>
      <c r="F118" s="2">
        <f t="shared" ca="1" si="13"/>
        <v>10.31</v>
      </c>
      <c r="G118" s="2">
        <f t="shared" ca="1" si="7"/>
        <v>123.72</v>
      </c>
    </row>
    <row r="119" spans="1:7" x14ac:dyDescent="0.25">
      <c r="A119" s="1">
        <f t="shared" ca="1" si="8"/>
        <v>45613</v>
      </c>
      <c r="B119" t="str">
        <f t="shared" ca="1" si="9"/>
        <v>Store A</v>
      </c>
      <c r="C119" t="str">
        <f t="shared" ca="1" si="10"/>
        <v>Rep I</v>
      </c>
      <c r="D119" t="str">
        <f t="shared" ca="1" si="11"/>
        <v>Product G</v>
      </c>
      <c r="E119">
        <f t="shared" ca="1" si="12"/>
        <v>48</v>
      </c>
      <c r="F119" s="2">
        <f t="shared" ca="1" si="13"/>
        <v>9.8000000000000007</v>
      </c>
      <c r="G119" s="2">
        <f t="shared" ca="1" si="7"/>
        <v>470.40000000000003</v>
      </c>
    </row>
    <row r="120" spans="1:7" x14ac:dyDescent="0.25">
      <c r="A120" s="1">
        <f t="shared" ca="1" si="8"/>
        <v>45294</v>
      </c>
      <c r="B120" t="str">
        <f t="shared" ca="1" si="9"/>
        <v>Store F</v>
      </c>
      <c r="C120" t="str">
        <f t="shared" ca="1" si="10"/>
        <v>Rep E</v>
      </c>
      <c r="D120" t="str">
        <f t="shared" ca="1" si="11"/>
        <v>Product F</v>
      </c>
      <c r="E120">
        <f t="shared" ca="1" si="12"/>
        <v>13</v>
      </c>
      <c r="F120" s="2">
        <f t="shared" ca="1" si="13"/>
        <v>6.67</v>
      </c>
      <c r="G120" s="2">
        <f t="shared" ca="1" si="7"/>
        <v>86.71</v>
      </c>
    </row>
    <row r="121" spans="1:7" x14ac:dyDescent="0.25">
      <c r="A121" s="1">
        <f t="shared" ca="1" si="8"/>
        <v>45631</v>
      </c>
      <c r="B121" t="str">
        <f t="shared" ca="1" si="9"/>
        <v>Store B</v>
      </c>
      <c r="C121" t="str">
        <f t="shared" ca="1" si="10"/>
        <v>Rep F</v>
      </c>
      <c r="D121" t="str">
        <f t="shared" ca="1" si="11"/>
        <v>Product H</v>
      </c>
      <c r="E121">
        <f t="shared" ca="1" si="12"/>
        <v>4</v>
      </c>
      <c r="F121" s="2">
        <f t="shared" ca="1" si="13"/>
        <v>4.8099999999999996</v>
      </c>
      <c r="G121" s="2">
        <f t="shared" ca="1" si="7"/>
        <v>19.239999999999998</v>
      </c>
    </row>
    <row r="122" spans="1:7" x14ac:dyDescent="0.25">
      <c r="A122" s="1">
        <f t="shared" ca="1" si="8"/>
        <v>45500</v>
      </c>
      <c r="B122" t="str">
        <f t="shared" ca="1" si="9"/>
        <v>Store G</v>
      </c>
      <c r="C122" t="str">
        <f t="shared" ca="1" si="10"/>
        <v>Rep H</v>
      </c>
      <c r="D122" t="str">
        <f t="shared" ca="1" si="11"/>
        <v>Product C</v>
      </c>
      <c r="E122">
        <f t="shared" ca="1" si="12"/>
        <v>3</v>
      </c>
      <c r="F122" s="2">
        <f t="shared" ca="1" si="13"/>
        <v>13.58</v>
      </c>
      <c r="G122" s="2">
        <f t="shared" ca="1" si="7"/>
        <v>40.74</v>
      </c>
    </row>
    <row r="123" spans="1:7" x14ac:dyDescent="0.25">
      <c r="A123" s="1">
        <f t="shared" ca="1" si="8"/>
        <v>45592</v>
      </c>
      <c r="B123" t="str">
        <f t="shared" ca="1" si="9"/>
        <v>Store H</v>
      </c>
      <c r="C123" t="str">
        <f t="shared" ca="1" si="10"/>
        <v>Rep D</v>
      </c>
      <c r="D123" t="str">
        <f t="shared" ca="1" si="11"/>
        <v>Product E</v>
      </c>
      <c r="E123">
        <f t="shared" ca="1" si="12"/>
        <v>18</v>
      </c>
      <c r="F123" s="2">
        <f t="shared" ca="1" si="13"/>
        <v>15.45</v>
      </c>
      <c r="G123" s="2">
        <f t="shared" ca="1" si="7"/>
        <v>278.09999999999997</v>
      </c>
    </row>
    <row r="124" spans="1:7" x14ac:dyDescent="0.25">
      <c r="A124" s="1">
        <f t="shared" ca="1" si="8"/>
        <v>45565</v>
      </c>
      <c r="B124" t="str">
        <f t="shared" ca="1" si="9"/>
        <v>Store E</v>
      </c>
      <c r="C124" t="str">
        <f t="shared" ca="1" si="10"/>
        <v>Rep B</v>
      </c>
      <c r="D124" t="str">
        <f t="shared" ca="1" si="11"/>
        <v>Product I</v>
      </c>
      <c r="E124">
        <f t="shared" ca="1" si="12"/>
        <v>49</v>
      </c>
      <c r="F124" s="2">
        <f t="shared" ca="1" si="13"/>
        <v>27.55</v>
      </c>
      <c r="G124" s="2">
        <f t="shared" ca="1" si="7"/>
        <v>1349.95</v>
      </c>
    </row>
    <row r="125" spans="1:7" x14ac:dyDescent="0.25">
      <c r="A125" s="1">
        <f t="shared" ca="1" si="8"/>
        <v>45549</v>
      </c>
      <c r="B125" t="str">
        <f t="shared" ca="1" si="9"/>
        <v>Store H</v>
      </c>
      <c r="C125" t="str">
        <f t="shared" ca="1" si="10"/>
        <v>Rep A</v>
      </c>
      <c r="D125" t="str">
        <f t="shared" ca="1" si="11"/>
        <v>Product A</v>
      </c>
      <c r="E125">
        <f t="shared" ca="1" si="12"/>
        <v>33</v>
      </c>
      <c r="F125" s="2">
        <f t="shared" ca="1" si="13"/>
        <v>14.73</v>
      </c>
      <c r="G125" s="2">
        <f t="shared" ca="1" si="7"/>
        <v>486.09000000000003</v>
      </c>
    </row>
    <row r="126" spans="1:7" x14ac:dyDescent="0.25">
      <c r="A126" s="1">
        <f t="shared" ca="1" si="8"/>
        <v>45496</v>
      </c>
      <c r="B126" t="str">
        <f t="shared" ca="1" si="9"/>
        <v>Store G</v>
      </c>
      <c r="C126" t="str">
        <f t="shared" ca="1" si="10"/>
        <v>Rep C</v>
      </c>
      <c r="D126" t="str">
        <f t="shared" ca="1" si="11"/>
        <v>Product I</v>
      </c>
      <c r="E126">
        <f t="shared" ca="1" si="12"/>
        <v>2</v>
      </c>
      <c r="F126" s="2">
        <f t="shared" ca="1" si="13"/>
        <v>23.61</v>
      </c>
      <c r="G126" s="2">
        <f t="shared" ca="1" si="7"/>
        <v>47.22</v>
      </c>
    </row>
    <row r="127" spans="1:7" x14ac:dyDescent="0.25">
      <c r="A127" s="1">
        <f t="shared" ca="1" si="8"/>
        <v>45527</v>
      </c>
      <c r="B127" t="str">
        <f t="shared" ca="1" si="9"/>
        <v>Store F</v>
      </c>
      <c r="C127" t="str">
        <f t="shared" ca="1" si="10"/>
        <v>Rep C</v>
      </c>
      <c r="D127" t="str">
        <f t="shared" ca="1" si="11"/>
        <v>Product J</v>
      </c>
      <c r="E127">
        <f t="shared" ca="1" si="12"/>
        <v>4</v>
      </c>
      <c r="F127" s="2">
        <f t="shared" ca="1" si="13"/>
        <v>26.37</v>
      </c>
      <c r="G127" s="2">
        <f t="shared" ca="1" si="7"/>
        <v>105.48</v>
      </c>
    </row>
    <row r="128" spans="1:7" x14ac:dyDescent="0.25">
      <c r="A128" s="1">
        <f t="shared" ca="1" si="8"/>
        <v>45625</v>
      </c>
      <c r="B128" t="str">
        <f t="shared" ca="1" si="9"/>
        <v>Store H</v>
      </c>
      <c r="C128" t="str">
        <f t="shared" ca="1" si="10"/>
        <v>Rep E</v>
      </c>
      <c r="D128" t="str">
        <f t="shared" ca="1" si="11"/>
        <v>Product E</v>
      </c>
      <c r="E128">
        <f t="shared" ca="1" si="12"/>
        <v>9</v>
      </c>
      <c r="F128" s="2">
        <f t="shared" ca="1" si="13"/>
        <v>3.45</v>
      </c>
      <c r="G128" s="2">
        <f t="shared" ca="1" si="7"/>
        <v>31.05</v>
      </c>
    </row>
    <row r="129" spans="1:7" x14ac:dyDescent="0.25">
      <c r="A129" s="1">
        <f t="shared" ca="1" si="8"/>
        <v>45454</v>
      </c>
      <c r="B129" t="str">
        <f t="shared" ca="1" si="9"/>
        <v>Store F</v>
      </c>
      <c r="C129" t="str">
        <f t="shared" ca="1" si="10"/>
        <v>Rep D</v>
      </c>
      <c r="D129" t="str">
        <f t="shared" ca="1" si="11"/>
        <v>Product B</v>
      </c>
      <c r="E129">
        <f t="shared" ca="1" si="12"/>
        <v>34</v>
      </c>
      <c r="F129" s="2">
        <f t="shared" ca="1" si="13"/>
        <v>20.69</v>
      </c>
      <c r="G129" s="2">
        <f t="shared" ca="1" si="7"/>
        <v>703.46</v>
      </c>
    </row>
    <row r="130" spans="1:7" x14ac:dyDescent="0.25">
      <c r="A130" s="1">
        <f t="shared" ca="1" si="8"/>
        <v>45654</v>
      </c>
      <c r="B130" t="str">
        <f t="shared" ca="1" si="9"/>
        <v>Store C</v>
      </c>
      <c r="C130" t="str">
        <f t="shared" ca="1" si="10"/>
        <v>Rep A</v>
      </c>
      <c r="D130" t="str">
        <f t="shared" ca="1" si="11"/>
        <v>Product J</v>
      </c>
      <c r="E130">
        <f t="shared" ca="1" si="12"/>
        <v>4</v>
      </c>
      <c r="F130" s="2">
        <f t="shared" ca="1" si="13"/>
        <v>23.08</v>
      </c>
      <c r="G130" s="2">
        <f t="shared" ref="G130:G193" ca="1" si="14">E130*F130</f>
        <v>92.32</v>
      </c>
    </row>
    <row r="131" spans="1:7" x14ac:dyDescent="0.25">
      <c r="A131" s="1">
        <f t="shared" ref="A131:A194" ca="1" si="15">RANDBETWEEN(DATE(2024,1,1),DATE(2024,12,31))</f>
        <v>45359</v>
      </c>
      <c r="B131" t="str">
        <f t="shared" ref="B131:B194" ca="1" si="16">CHOOSE(RANDBETWEEN(1,10),"Store A","Store B","Store C","Store D","Store E","Store F","Store G","Store H","Store I","Store J")</f>
        <v>Store D</v>
      </c>
      <c r="C131" t="str">
        <f t="shared" ref="C131:C194" ca="1" si="17">CHOOSE(RANDBETWEEN(1,10),"Rep A","Rep B","Rep C","Rep D","Rep E","Rep F","Rep G","Rep H","Rep I","Rep J")</f>
        <v>Rep D</v>
      </c>
      <c r="D131" t="str">
        <f t="shared" ref="D131:D194" ca="1" si="18">CHOOSE(RANDBETWEEN(1,10),"Product A","Product B","Product C","Product D","Product E","Product F","Product G","Product H","Product I","Product J")</f>
        <v>Product I</v>
      </c>
      <c r="E131">
        <f t="shared" ref="E131:E194" ca="1" si="19">RANDBETWEEN(1,50)</f>
        <v>46</v>
      </c>
      <c r="F131" s="2">
        <f t="shared" ref="F131:F194" ca="1" si="20">ROUND(2+28*RAND(),2)</f>
        <v>6.75</v>
      </c>
      <c r="G131" s="2">
        <f t="shared" ca="1" si="14"/>
        <v>310.5</v>
      </c>
    </row>
    <row r="132" spans="1:7" x14ac:dyDescent="0.25">
      <c r="A132" s="1">
        <f t="shared" ca="1" si="15"/>
        <v>45424</v>
      </c>
      <c r="B132" t="str">
        <f t="shared" ca="1" si="16"/>
        <v>Store J</v>
      </c>
      <c r="C132" t="str">
        <f t="shared" ca="1" si="17"/>
        <v>Rep H</v>
      </c>
      <c r="D132" t="str">
        <f t="shared" ca="1" si="18"/>
        <v>Product D</v>
      </c>
      <c r="E132">
        <f t="shared" ca="1" si="19"/>
        <v>6</v>
      </c>
      <c r="F132" s="2">
        <f t="shared" ca="1" si="20"/>
        <v>20.94</v>
      </c>
      <c r="G132" s="2">
        <f t="shared" ca="1" si="14"/>
        <v>125.64000000000001</v>
      </c>
    </row>
    <row r="133" spans="1:7" x14ac:dyDescent="0.25">
      <c r="A133" s="1">
        <f t="shared" ca="1" si="15"/>
        <v>45551</v>
      </c>
      <c r="B133" t="str">
        <f t="shared" ca="1" si="16"/>
        <v>Store B</v>
      </c>
      <c r="C133" t="str">
        <f t="shared" ca="1" si="17"/>
        <v>Rep I</v>
      </c>
      <c r="D133" t="str">
        <f t="shared" ca="1" si="18"/>
        <v>Product F</v>
      </c>
      <c r="E133">
        <f t="shared" ca="1" si="19"/>
        <v>17</v>
      </c>
      <c r="F133" s="2">
        <f t="shared" ca="1" si="20"/>
        <v>2.89</v>
      </c>
      <c r="G133" s="2">
        <f t="shared" ca="1" si="14"/>
        <v>49.13</v>
      </c>
    </row>
    <row r="134" spans="1:7" x14ac:dyDescent="0.25">
      <c r="A134" s="1">
        <f t="shared" ca="1" si="15"/>
        <v>45466</v>
      </c>
      <c r="B134" t="str">
        <f t="shared" ca="1" si="16"/>
        <v>Store D</v>
      </c>
      <c r="C134" t="str">
        <f t="shared" ca="1" si="17"/>
        <v>Rep I</v>
      </c>
      <c r="D134" t="str">
        <f t="shared" ca="1" si="18"/>
        <v>Product E</v>
      </c>
      <c r="E134">
        <f t="shared" ca="1" si="19"/>
        <v>13</v>
      </c>
      <c r="F134" s="2">
        <f t="shared" ca="1" si="20"/>
        <v>11.21</v>
      </c>
      <c r="G134" s="2">
        <f t="shared" ca="1" si="14"/>
        <v>145.73000000000002</v>
      </c>
    </row>
    <row r="135" spans="1:7" x14ac:dyDescent="0.25">
      <c r="A135" s="1">
        <f t="shared" ca="1" si="15"/>
        <v>45505</v>
      </c>
      <c r="B135" t="str">
        <f t="shared" ca="1" si="16"/>
        <v>Store J</v>
      </c>
      <c r="C135" t="str">
        <f t="shared" ca="1" si="17"/>
        <v>Rep I</v>
      </c>
      <c r="D135" t="str">
        <f t="shared" ca="1" si="18"/>
        <v>Product F</v>
      </c>
      <c r="E135">
        <f t="shared" ca="1" si="19"/>
        <v>35</v>
      </c>
      <c r="F135" s="2">
        <f t="shared" ca="1" si="20"/>
        <v>21.18</v>
      </c>
      <c r="G135" s="2">
        <f t="shared" ca="1" si="14"/>
        <v>741.3</v>
      </c>
    </row>
    <row r="136" spans="1:7" x14ac:dyDescent="0.25">
      <c r="A136" s="1">
        <f t="shared" ca="1" si="15"/>
        <v>45518</v>
      </c>
      <c r="B136" t="str">
        <f t="shared" ca="1" si="16"/>
        <v>Store A</v>
      </c>
      <c r="C136" t="str">
        <f t="shared" ca="1" si="17"/>
        <v>Rep C</v>
      </c>
      <c r="D136" t="str">
        <f t="shared" ca="1" si="18"/>
        <v>Product J</v>
      </c>
      <c r="E136">
        <f t="shared" ca="1" si="19"/>
        <v>17</v>
      </c>
      <c r="F136" s="2">
        <f t="shared" ca="1" si="20"/>
        <v>21.94</v>
      </c>
      <c r="G136" s="2">
        <f t="shared" ca="1" si="14"/>
        <v>372.98</v>
      </c>
    </row>
    <row r="137" spans="1:7" x14ac:dyDescent="0.25">
      <c r="A137" s="1">
        <f t="shared" ca="1" si="15"/>
        <v>45322</v>
      </c>
      <c r="B137" t="str">
        <f t="shared" ca="1" si="16"/>
        <v>Store J</v>
      </c>
      <c r="C137" t="str">
        <f t="shared" ca="1" si="17"/>
        <v>Rep G</v>
      </c>
      <c r="D137" t="str">
        <f t="shared" ca="1" si="18"/>
        <v>Product D</v>
      </c>
      <c r="E137">
        <f t="shared" ca="1" si="19"/>
        <v>33</v>
      </c>
      <c r="F137" s="2">
        <f t="shared" ca="1" si="20"/>
        <v>21.06</v>
      </c>
      <c r="G137" s="2">
        <f t="shared" ca="1" si="14"/>
        <v>694.9799999999999</v>
      </c>
    </row>
    <row r="138" spans="1:7" x14ac:dyDescent="0.25">
      <c r="A138" s="1">
        <f t="shared" ca="1" si="15"/>
        <v>45644</v>
      </c>
      <c r="B138" t="str">
        <f t="shared" ca="1" si="16"/>
        <v>Store I</v>
      </c>
      <c r="C138" t="str">
        <f t="shared" ca="1" si="17"/>
        <v>Rep F</v>
      </c>
      <c r="D138" t="str">
        <f t="shared" ca="1" si="18"/>
        <v>Product F</v>
      </c>
      <c r="E138">
        <f t="shared" ca="1" si="19"/>
        <v>43</v>
      </c>
      <c r="F138" s="2">
        <f t="shared" ca="1" si="20"/>
        <v>26.45</v>
      </c>
      <c r="G138" s="2">
        <f t="shared" ca="1" si="14"/>
        <v>1137.3499999999999</v>
      </c>
    </row>
    <row r="139" spans="1:7" x14ac:dyDescent="0.25">
      <c r="A139" s="1">
        <f t="shared" ca="1" si="15"/>
        <v>45376</v>
      </c>
      <c r="B139" t="str">
        <f t="shared" ca="1" si="16"/>
        <v>Store G</v>
      </c>
      <c r="C139" t="str">
        <f t="shared" ca="1" si="17"/>
        <v>Rep D</v>
      </c>
      <c r="D139" t="str">
        <f t="shared" ca="1" si="18"/>
        <v>Product H</v>
      </c>
      <c r="E139">
        <f t="shared" ca="1" si="19"/>
        <v>35</v>
      </c>
      <c r="F139" s="2">
        <f t="shared" ca="1" si="20"/>
        <v>27.98</v>
      </c>
      <c r="G139" s="2">
        <f t="shared" ca="1" si="14"/>
        <v>979.30000000000007</v>
      </c>
    </row>
    <row r="140" spans="1:7" x14ac:dyDescent="0.25">
      <c r="A140" s="1">
        <f t="shared" ca="1" si="15"/>
        <v>45357</v>
      </c>
      <c r="B140" t="str">
        <f t="shared" ca="1" si="16"/>
        <v>Store H</v>
      </c>
      <c r="C140" t="str">
        <f t="shared" ca="1" si="17"/>
        <v>Rep C</v>
      </c>
      <c r="D140" t="str">
        <f t="shared" ca="1" si="18"/>
        <v>Product C</v>
      </c>
      <c r="E140">
        <f t="shared" ca="1" si="19"/>
        <v>49</v>
      </c>
      <c r="F140" s="2">
        <f t="shared" ca="1" si="20"/>
        <v>25.33</v>
      </c>
      <c r="G140" s="2">
        <f t="shared" ca="1" si="14"/>
        <v>1241.1699999999998</v>
      </c>
    </row>
    <row r="141" spans="1:7" x14ac:dyDescent="0.25">
      <c r="A141" s="1">
        <f t="shared" ca="1" si="15"/>
        <v>45623</v>
      </c>
      <c r="B141" t="str">
        <f t="shared" ca="1" si="16"/>
        <v>Store F</v>
      </c>
      <c r="C141" t="str">
        <f t="shared" ca="1" si="17"/>
        <v>Rep B</v>
      </c>
      <c r="D141" t="str">
        <f t="shared" ca="1" si="18"/>
        <v>Product H</v>
      </c>
      <c r="E141">
        <f t="shared" ca="1" si="19"/>
        <v>42</v>
      </c>
      <c r="F141" s="2">
        <f t="shared" ca="1" si="20"/>
        <v>9.6999999999999993</v>
      </c>
      <c r="G141" s="2">
        <f t="shared" ca="1" si="14"/>
        <v>407.4</v>
      </c>
    </row>
    <row r="142" spans="1:7" x14ac:dyDescent="0.25">
      <c r="A142" s="1">
        <f t="shared" ca="1" si="15"/>
        <v>45653</v>
      </c>
      <c r="B142" t="str">
        <f t="shared" ca="1" si="16"/>
        <v>Store D</v>
      </c>
      <c r="C142" t="str">
        <f t="shared" ca="1" si="17"/>
        <v>Rep J</v>
      </c>
      <c r="D142" t="str">
        <f t="shared" ca="1" si="18"/>
        <v>Product G</v>
      </c>
      <c r="E142">
        <f t="shared" ca="1" si="19"/>
        <v>36</v>
      </c>
      <c r="F142" s="2">
        <f t="shared" ca="1" si="20"/>
        <v>5.84</v>
      </c>
      <c r="G142" s="2">
        <f t="shared" ca="1" si="14"/>
        <v>210.24</v>
      </c>
    </row>
    <row r="143" spans="1:7" x14ac:dyDescent="0.25">
      <c r="A143" s="1">
        <f t="shared" ca="1" si="15"/>
        <v>45420</v>
      </c>
      <c r="B143" t="str">
        <f t="shared" ca="1" si="16"/>
        <v>Store J</v>
      </c>
      <c r="C143" t="str">
        <f t="shared" ca="1" si="17"/>
        <v>Rep G</v>
      </c>
      <c r="D143" t="str">
        <f t="shared" ca="1" si="18"/>
        <v>Product F</v>
      </c>
      <c r="E143">
        <f t="shared" ca="1" si="19"/>
        <v>22</v>
      </c>
      <c r="F143" s="2">
        <f t="shared" ca="1" si="20"/>
        <v>3.54</v>
      </c>
      <c r="G143" s="2">
        <f t="shared" ca="1" si="14"/>
        <v>77.88</v>
      </c>
    </row>
    <row r="144" spans="1:7" x14ac:dyDescent="0.25">
      <c r="A144" s="1">
        <f t="shared" ca="1" si="15"/>
        <v>45592</v>
      </c>
      <c r="B144" t="str">
        <f t="shared" ca="1" si="16"/>
        <v>Store F</v>
      </c>
      <c r="C144" t="str">
        <f t="shared" ca="1" si="17"/>
        <v>Rep G</v>
      </c>
      <c r="D144" t="str">
        <f t="shared" ca="1" si="18"/>
        <v>Product D</v>
      </c>
      <c r="E144">
        <f t="shared" ca="1" si="19"/>
        <v>19</v>
      </c>
      <c r="F144" s="2">
        <f t="shared" ca="1" si="20"/>
        <v>26.49</v>
      </c>
      <c r="G144" s="2">
        <f t="shared" ca="1" si="14"/>
        <v>503.30999999999995</v>
      </c>
    </row>
    <row r="145" spans="1:7" x14ac:dyDescent="0.25">
      <c r="A145" s="1">
        <f t="shared" ca="1" si="15"/>
        <v>45369</v>
      </c>
      <c r="B145" t="str">
        <f t="shared" ca="1" si="16"/>
        <v>Store C</v>
      </c>
      <c r="C145" t="str">
        <f t="shared" ca="1" si="17"/>
        <v>Rep A</v>
      </c>
      <c r="D145" t="str">
        <f t="shared" ca="1" si="18"/>
        <v>Product F</v>
      </c>
      <c r="E145">
        <f t="shared" ca="1" si="19"/>
        <v>10</v>
      </c>
      <c r="F145" s="2">
        <f t="shared" ca="1" si="20"/>
        <v>7.92</v>
      </c>
      <c r="G145" s="2">
        <f t="shared" ca="1" si="14"/>
        <v>79.2</v>
      </c>
    </row>
    <row r="146" spans="1:7" x14ac:dyDescent="0.25">
      <c r="A146" s="1">
        <f t="shared" ca="1" si="15"/>
        <v>45564</v>
      </c>
      <c r="B146" t="str">
        <f t="shared" ca="1" si="16"/>
        <v>Store H</v>
      </c>
      <c r="C146" t="str">
        <f t="shared" ca="1" si="17"/>
        <v>Rep B</v>
      </c>
      <c r="D146" t="str">
        <f t="shared" ca="1" si="18"/>
        <v>Product D</v>
      </c>
      <c r="E146">
        <f t="shared" ca="1" si="19"/>
        <v>48</v>
      </c>
      <c r="F146" s="2">
        <f t="shared" ca="1" si="20"/>
        <v>6.92</v>
      </c>
      <c r="G146" s="2">
        <f t="shared" ca="1" si="14"/>
        <v>332.15999999999997</v>
      </c>
    </row>
    <row r="147" spans="1:7" x14ac:dyDescent="0.25">
      <c r="A147" s="1">
        <f t="shared" ca="1" si="15"/>
        <v>45608</v>
      </c>
      <c r="B147" t="str">
        <f t="shared" ca="1" si="16"/>
        <v>Store J</v>
      </c>
      <c r="C147" t="str">
        <f t="shared" ca="1" si="17"/>
        <v>Rep C</v>
      </c>
      <c r="D147" t="str">
        <f t="shared" ca="1" si="18"/>
        <v>Product D</v>
      </c>
      <c r="E147">
        <f t="shared" ca="1" si="19"/>
        <v>21</v>
      </c>
      <c r="F147" s="2">
        <f t="shared" ca="1" si="20"/>
        <v>10.46</v>
      </c>
      <c r="G147" s="2">
        <f t="shared" ca="1" si="14"/>
        <v>219.66000000000003</v>
      </c>
    </row>
    <row r="148" spans="1:7" x14ac:dyDescent="0.25">
      <c r="A148" s="1">
        <f t="shared" ca="1" si="15"/>
        <v>45620</v>
      </c>
      <c r="B148" t="str">
        <f t="shared" ca="1" si="16"/>
        <v>Store B</v>
      </c>
      <c r="C148" t="str">
        <f t="shared" ca="1" si="17"/>
        <v>Rep E</v>
      </c>
      <c r="D148" t="str">
        <f t="shared" ca="1" si="18"/>
        <v>Product B</v>
      </c>
      <c r="E148">
        <f t="shared" ca="1" si="19"/>
        <v>39</v>
      </c>
      <c r="F148" s="2">
        <f t="shared" ca="1" si="20"/>
        <v>16.93</v>
      </c>
      <c r="G148" s="2">
        <f t="shared" ca="1" si="14"/>
        <v>660.27</v>
      </c>
    </row>
    <row r="149" spans="1:7" x14ac:dyDescent="0.25">
      <c r="A149" s="1">
        <f t="shared" ca="1" si="15"/>
        <v>45478</v>
      </c>
      <c r="B149" t="str">
        <f t="shared" ca="1" si="16"/>
        <v>Store A</v>
      </c>
      <c r="C149" t="str">
        <f t="shared" ca="1" si="17"/>
        <v>Rep E</v>
      </c>
      <c r="D149" t="str">
        <f t="shared" ca="1" si="18"/>
        <v>Product I</v>
      </c>
      <c r="E149">
        <f t="shared" ca="1" si="19"/>
        <v>31</v>
      </c>
      <c r="F149" s="2">
        <f t="shared" ca="1" si="20"/>
        <v>18.690000000000001</v>
      </c>
      <c r="G149" s="2">
        <f t="shared" ca="1" si="14"/>
        <v>579.39</v>
      </c>
    </row>
    <row r="150" spans="1:7" x14ac:dyDescent="0.25">
      <c r="A150" s="1">
        <f t="shared" ca="1" si="15"/>
        <v>45544</v>
      </c>
      <c r="B150" t="str">
        <f t="shared" ca="1" si="16"/>
        <v>Store E</v>
      </c>
      <c r="C150" t="str">
        <f t="shared" ca="1" si="17"/>
        <v>Rep A</v>
      </c>
      <c r="D150" t="str">
        <f t="shared" ca="1" si="18"/>
        <v>Product J</v>
      </c>
      <c r="E150">
        <f t="shared" ca="1" si="19"/>
        <v>32</v>
      </c>
      <c r="F150" s="2">
        <f t="shared" ca="1" si="20"/>
        <v>25.83</v>
      </c>
      <c r="G150" s="2">
        <f t="shared" ca="1" si="14"/>
        <v>826.56</v>
      </c>
    </row>
    <row r="151" spans="1:7" x14ac:dyDescent="0.25">
      <c r="A151" s="1">
        <f t="shared" ca="1" si="15"/>
        <v>45440</v>
      </c>
      <c r="B151" t="str">
        <f t="shared" ca="1" si="16"/>
        <v>Store B</v>
      </c>
      <c r="C151" t="str">
        <f t="shared" ca="1" si="17"/>
        <v>Rep B</v>
      </c>
      <c r="D151" t="str">
        <f t="shared" ca="1" si="18"/>
        <v>Product H</v>
      </c>
      <c r="E151">
        <f t="shared" ca="1" si="19"/>
        <v>5</v>
      </c>
      <c r="F151" s="2">
        <f t="shared" ca="1" si="20"/>
        <v>18.579999999999998</v>
      </c>
      <c r="G151" s="2">
        <f t="shared" ca="1" si="14"/>
        <v>92.899999999999991</v>
      </c>
    </row>
    <row r="152" spans="1:7" x14ac:dyDescent="0.25">
      <c r="A152" s="1">
        <f t="shared" ca="1" si="15"/>
        <v>45328</v>
      </c>
      <c r="B152" t="str">
        <f t="shared" ca="1" si="16"/>
        <v>Store I</v>
      </c>
      <c r="C152" t="str">
        <f t="shared" ca="1" si="17"/>
        <v>Rep A</v>
      </c>
      <c r="D152" t="str">
        <f t="shared" ca="1" si="18"/>
        <v>Product E</v>
      </c>
      <c r="E152">
        <f t="shared" ca="1" si="19"/>
        <v>46</v>
      </c>
      <c r="F152" s="2">
        <f t="shared" ca="1" si="20"/>
        <v>22.63</v>
      </c>
      <c r="G152" s="2">
        <f t="shared" ca="1" si="14"/>
        <v>1040.98</v>
      </c>
    </row>
    <row r="153" spans="1:7" x14ac:dyDescent="0.25">
      <c r="A153" s="1">
        <f t="shared" ca="1" si="15"/>
        <v>45585</v>
      </c>
      <c r="B153" t="str">
        <f t="shared" ca="1" si="16"/>
        <v>Store H</v>
      </c>
      <c r="C153" t="str">
        <f t="shared" ca="1" si="17"/>
        <v>Rep C</v>
      </c>
      <c r="D153" t="str">
        <f t="shared" ca="1" si="18"/>
        <v>Product G</v>
      </c>
      <c r="E153">
        <f t="shared" ca="1" si="19"/>
        <v>7</v>
      </c>
      <c r="F153" s="2">
        <f t="shared" ca="1" si="20"/>
        <v>26.23</v>
      </c>
      <c r="G153" s="2">
        <f t="shared" ca="1" si="14"/>
        <v>183.61</v>
      </c>
    </row>
    <row r="154" spans="1:7" x14ac:dyDescent="0.25">
      <c r="A154" s="1">
        <f t="shared" ca="1" si="15"/>
        <v>45496</v>
      </c>
      <c r="B154" t="str">
        <f t="shared" ca="1" si="16"/>
        <v>Store E</v>
      </c>
      <c r="C154" t="str">
        <f t="shared" ca="1" si="17"/>
        <v>Rep B</v>
      </c>
      <c r="D154" t="str">
        <f t="shared" ca="1" si="18"/>
        <v>Product A</v>
      </c>
      <c r="E154">
        <f t="shared" ca="1" si="19"/>
        <v>28</v>
      </c>
      <c r="F154" s="2">
        <f t="shared" ca="1" si="20"/>
        <v>4.34</v>
      </c>
      <c r="G154" s="2">
        <f t="shared" ca="1" si="14"/>
        <v>121.52</v>
      </c>
    </row>
    <row r="155" spans="1:7" x14ac:dyDescent="0.25">
      <c r="A155" s="1">
        <f t="shared" ca="1" si="15"/>
        <v>45547</v>
      </c>
      <c r="B155" t="str">
        <f t="shared" ca="1" si="16"/>
        <v>Store C</v>
      </c>
      <c r="C155" t="str">
        <f t="shared" ca="1" si="17"/>
        <v>Rep F</v>
      </c>
      <c r="D155" t="str">
        <f t="shared" ca="1" si="18"/>
        <v>Product C</v>
      </c>
      <c r="E155">
        <f t="shared" ca="1" si="19"/>
        <v>24</v>
      </c>
      <c r="F155" s="2">
        <f t="shared" ca="1" si="20"/>
        <v>15.3</v>
      </c>
      <c r="G155" s="2">
        <f t="shared" ca="1" si="14"/>
        <v>367.20000000000005</v>
      </c>
    </row>
    <row r="156" spans="1:7" x14ac:dyDescent="0.25">
      <c r="A156" s="1">
        <f t="shared" ca="1" si="15"/>
        <v>45494</v>
      </c>
      <c r="B156" t="str">
        <f t="shared" ca="1" si="16"/>
        <v>Store I</v>
      </c>
      <c r="C156" t="str">
        <f t="shared" ca="1" si="17"/>
        <v>Rep I</v>
      </c>
      <c r="D156" t="str">
        <f t="shared" ca="1" si="18"/>
        <v>Product E</v>
      </c>
      <c r="E156">
        <f t="shared" ca="1" si="19"/>
        <v>18</v>
      </c>
      <c r="F156" s="2">
        <f t="shared" ca="1" si="20"/>
        <v>9.1300000000000008</v>
      </c>
      <c r="G156" s="2">
        <f t="shared" ca="1" si="14"/>
        <v>164.34</v>
      </c>
    </row>
    <row r="157" spans="1:7" x14ac:dyDescent="0.25">
      <c r="A157" s="1">
        <f t="shared" ca="1" si="15"/>
        <v>45464</v>
      </c>
      <c r="B157" t="str">
        <f t="shared" ca="1" si="16"/>
        <v>Store G</v>
      </c>
      <c r="C157" t="str">
        <f t="shared" ca="1" si="17"/>
        <v>Rep G</v>
      </c>
      <c r="D157" t="str">
        <f t="shared" ca="1" si="18"/>
        <v>Product E</v>
      </c>
      <c r="E157">
        <f t="shared" ca="1" si="19"/>
        <v>46</v>
      </c>
      <c r="F157" s="2">
        <f t="shared" ca="1" si="20"/>
        <v>25.48</v>
      </c>
      <c r="G157" s="2">
        <f t="shared" ca="1" si="14"/>
        <v>1172.08</v>
      </c>
    </row>
    <row r="158" spans="1:7" x14ac:dyDescent="0.25">
      <c r="A158" s="1">
        <f t="shared" ca="1" si="15"/>
        <v>45349</v>
      </c>
      <c r="B158" t="str">
        <f t="shared" ca="1" si="16"/>
        <v>Store J</v>
      </c>
      <c r="C158" t="str">
        <f t="shared" ca="1" si="17"/>
        <v>Rep C</v>
      </c>
      <c r="D158" t="str">
        <f t="shared" ca="1" si="18"/>
        <v>Product J</v>
      </c>
      <c r="E158">
        <f t="shared" ca="1" si="19"/>
        <v>17</v>
      </c>
      <c r="F158" s="2">
        <f t="shared" ca="1" si="20"/>
        <v>24.61</v>
      </c>
      <c r="G158" s="2">
        <f t="shared" ca="1" si="14"/>
        <v>418.37</v>
      </c>
    </row>
    <row r="159" spans="1:7" x14ac:dyDescent="0.25">
      <c r="A159" s="1">
        <f t="shared" ca="1" si="15"/>
        <v>45624</v>
      </c>
      <c r="B159" t="str">
        <f t="shared" ca="1" si="16"/>
        <v>Store B</v>
      </c>
      <c r="C159" t="str">
        <f t="shared" ca="1" si="17"/>
        <v>Rep B</v>
      </c>
      <c r="D159" t="str">
        <f t="shared" ca="1" si="18"/>
        <v>Product E</v>
      </c>
      <c r="E159">
        <f t="shared" ca="1" si="19"/>
        <v>3</v>
      </c>
      <c r="F159" s="2">
        <f t="shared" ca="1" si="20"/>
        <v>10.53</v>
      </c>
      <c r="G159" s="2">
        <f t="shared" ca="1" si="14"/>
        <v>31.589999999999996</v>
      </c>
    </row>
    <row r="160" spans="1:7" x14ac:dyDescent="0.25">
      <c r="A160" s="1">
        <f t="shared" ca="1" si="15"/>
        <v>45374</v>
      </c>
      <c r="B160" t="str">
        <f t="shared" ca="1" si="16"/>
        <v>Store J</v>
      </c>
      <c r="C160" t="str">
        <f t="shared" ca="1" si="17"/>
        <v>Rep D</v>
      </c>
      <c r="D160" t="str">
        <f t="shared" ca="1" si="18"/>
        <v>Product H</v>
      </c>
      <c r="E160">
        <f t="shared" ca="1" si="19"/>
        <v>18</v>
      </c>
      <c r="F160" s="2">
        <f t="shared" ca="1" si="20"/>
        <v>15.49</v>
      </c>
      <c r="G160" s="2">
        <f t="shared" ca="1" si="14"/>
        <v>278.82</v>
      </c>
    </row>
    <row r="161" spans="1:7" x14ac:dyDescent="0.25">
      <c r="A161" s="1">
        <f t="shared" ca="1" si="15"/>
        <v>45654</v>
      </c>
      <c r="B161" t="str">
        <f t="shared" ca="1" si="16"/>
        <v>Store J</v>
      </c>
      <c r="C161" t="str">
        <f t="shared" ca="1" si="17"/>
        <v>Rep D</v>
      </c>
      <c r="D161" t="str">
        <f t="shared" ca="1" si="18"/>
        <v>Product G</v>
      </c>
      <c r="E161">
        <f t="shared" ca="1" si="19"/>
        <v>23</v>
      </c>
      <c r="F161" s="2">
        <f t="shared" ca="1" si="20"/>
        <v>20.18</v>
      </c>
      <c r="G161" s="2">
        <f t="shared" ca="1" si="14"/>
        <v>464.14</v>
      </c>
    </row>
    <row r="162" spans="1:7" x14ac:dyDescent="0.25">
      <c r="A162" s="1">
        <f t="shared" ca="1" si="15"/>
        <v>45450</v>
      </c>
      <c r="B162" t="str">
        <f t="shared" ca="1" si="16"/>
        <v>Store G</v>
      </c>
      <c r="C162" t="str">
        <f t="shared" ca="1" si="17"/>
        <v>Rep J</v>
      </c>
      <c r="D162" t="str">
        <f t="shared" ca="1" si="18"/>
        <v>Product E</v>
      </c>
      <c r="E162">
        <f t="shared" ca="1" si="19"/>
        <v>41</v>
      </c>
      <c r="F162" s="2">
        <f t="shared" ca="1" si="20"/>
        <v>17.96</v>
      </c>
      <c r="G162" s="2">
        <f t="shared" ca="1" si="14"/>
        <v>736.36</v>
      </c>
    </row>
    <row r="163" spans="1:7" x14ac:dyDescent="0.25">
      <c r="A163" s="1">
        <f t="shared" ca="1" si="15"/>
        <v>45474</v>
      </c>
      <c r="B163" t="str">
        <f t="shared" ca="1" si="16"/>
        <v>Store E</v>
      </c>
      <c r="C163" t="str">
        <f t="shared" ca="1" si="17"/>
        <v>Rep J</v>
      </c>
      <c r="D163" t="str">
        <f t="shared" ca="1" si="18"/>
        <v>Product D</v>
      </c>
      <c r="E163">
        <f t="shared" ca="1" si="19"/>
        <v>21</v>
      </c>
      <c r="F163" s="2">
        <f t="shared" ca="1" si="20"/>
        <v>14.4</v>
      </c>
      <c r="G163" s="2">
        <f t="shared" ca="1" si="14"/>
        <v>302.40000000000003</v>
      </c>
    </row>
    <row r="164" spans="1:7" x14ac:dyDescent="0.25">
      <c r="A164" s="1">
        <f t="shared" ca="1" si="15"/>
        <v>45606</v>
      </c>
      <c r="B164" t="str">
        <f t="shared" ca="1" si="16"/>
        <v>Store A</v>
      </c>
      <c r="C164" t="str">
        <f t="shared" ca="1" si="17"/>
        <v>Rep A</v>
      </c>
      <c r="D164" t="str">
        <f t="shared" ca="1" si="18"/>
        <v>Product C</v>
      </c>
      <c r="E164">
        <f t="shared" ca="1" si="19"/>
        <v>21</v>
      </c>
      <c r="F164" s="2">
        <f t="shared" ca="1" si="20"/>
        <v>22.35</v>
      </c>
      <c r="G164" s="2">
        <f t="shared" ca="1" si="14"/>
        <v>469.35</v>
      </c>
    </row>
    <row r="165" spans="1:7" x14ac:dyDescent="0.25">
      <c r="A165" s="1">
        <f t="shared" ca="1" si="15"/>
        <v>45639</v>
      </c>
      <c r="B165" t="str">
        <f t="shared" ca="1" si="16"/>
        <v>Store I</v>
      </c>
      <c r="C165" t="str">
        <f t="shared" ca="1" si="17"/>
        <v>Rep F</v>
      </c>
      <c r="D165" t="str">
        <f t="shared" ca="1" si="18"/>
        <v>Product C</v>
      </c>
      <c r="E165">
        <f t="shared" ca="1" si="19"/>
        <v>26</v>
      </c>
      <c r="F165" s="2">
        <f t="shared" ca="1" si="20"/>
        <v>9.82</v>
      </c>
      <c r="G165" s="2">
        <f t="shared" ca="1" si="14"/>
        <v>255.32</v>
      </c>
    </row>
    <row r="166" spans="1:7" x14ac:dyDescent="0.25">
      <c r="A166" s="1">
        <f t="shared" ca="1" si="15"/>
        <v>45644</v>
      </c>
      <c r="B166" t="str">
        <f t="shared" ca="1" si="16"/>
        <v>Store I</v>
      </c>
      <c r="C166" t="str">
        <f t="shared" ca="1" si="17"/>
        <v>Rep E</v>
      </c>
      <c r="D166" t="str">
        <f t="shared" ca="1" si="18"/>
        <v>Product B</v>
      </c>
      <c r="E166">
        <f t="shared" ca="1" si="19"/>
        <v>26</v>
      </c>
      <c r="F166" s="2">
        <f t="shared" ca="1" si="20"/>
        <v>14.55</v>
      </c>
      <c r="G166" s="2">
        <f t="shared" ca="1" si="14"/>
        <v>378.3</v>
      </c>
    </row>
    <row r="167" spans="1:7" x14ac:dyDescent="0.25">
      <c r="A167" s="1">
        <f t="shared" ca="1" si="15"/>
        <v>45621</v>
      </c>
      <c r="B167" t="str">
        <f t="shared" ca="1" si="16"/>
        <v>Store C</v>
      </c>
      <c r="C167" t="str">
        <f t="shared" ca="1" si="17"/>
        <v>Rep C</v>
      </c>
      <c r="D167" t="str">
        <f t="shared" ca="1" si="18"/>
        <v>Product D</v>
      </c>
      <c r="E167">
        <f t="shared" ca="1" si="19"/>
        <v>34</v>
      </c>
      <c r="F167" s="2">
        <f t="shared" ca="1" si="20"/>
        <v>21.38</v>
      </c>
      <c r="G167" s="2">
        <f t="shared" ca="1" si="14"/>
        <v>726.92</v>
      </c>
    </row>
    <row r="168" spans="1:7" x14ac:dyDescent="0.25">
      <c r="A168" s="1">
        <f t="shared" ca="1" si="15"/>
        <v>45327</v>
      </c>
      <c r="B168" t="str">
        <f t="shared" ca="1" si="16"/>
        <v>Store D</v>
      </c>
      <c r="C168" t="str">
        <f t="shared" ca="1" si="17"/>
        <v>Rep B</v>
      </c>
      <c r="D168" t="str">
        <f t="shared" ca="1" si="18"/>
        <v>Product G</v>
      </c>
      <c r="E168">
        <f t="shared" ca="1" si="19"/>
        <v>49</v>
      </c>
      <c r="F168" s="2">
        <f t="shared" ca="1" si="20"/>
        <v>4.67</v>
      </c>
      <c r="G168" s="2">
        <f t="shared" ca="1" si="14"/>
        <v>228.82999999999998</v>
      </c>
    </row>
    <row r="169" spans="1:7" x14ac:dyDescent="0.25">
      <c r="A169" s="1">
        <f t="shared" ca="1" si="15"/>
        <v>45656</v>
      </c>
      <c r="B169" t="str">
        <f t="shared" ca="1" si="16"/>
        <v>Store H</v>
      </c>
      <c r="C169" t="str">
        <f t="shared" ca="1" si="17"/>
        <v>Rep H</v>
      </c>
      <c r="D169" t="str">
        <f t="shared" ca="1" si="18"/>
        <v>Product F</v>
      </c>
      <c r="E169">
        <f t="shared" ca="1" si="19"/>
        <v>25</v>
      </c>
      <c r="F169" s="2">
        <f t="shared" ca="1" si="20"/>
        <v>9.56</v>
      </c>
      <c r="G169" s="2">
        <f t="shared" ca="1" si="14"/>
        <v>239</v>
      </c>
    </row>
    <row r="170" spans="1:7" x14ac:dyDescent="0.25">
      <c r="A170" s="1">
        <f t="shared" ca="1" si="15"/>
        <v>45580</v>
      </c>
      <c r="B170" t="str">
        <f t="shared" ca="1" si="16"/>
        <v>Store G</v>
      </c>
      <c r="C170" t="str">
        <f t="shared" ca="1" si="17"/>
        <v>Rep C</v>
      </c>
      <c r="D170" t="str">
        <f t="shared" ca="1" si="18"/>
        <v>Product J</v>
      </c>
      <c r="E170">
        <f t="shared" ca="1" si="19"/>
        <v>50</v>
      </c>
      <c r="F170" s="2">
        <f t="shared" ca="1" si="20"/>
        <v>10.050000000000001</v>
      </c>
      <c r="G170" s="2">
        <f t="shared" ca="1" si="14"/>
        <v>502.50000000000006</v>
      </c>
    </row>
    <row r="171" spans="1:7" x14ac:dyDescent="0.25">
      <c r="A171" s="1">
        <f t="shared" ca="1" si="15"/>
        <v>45350</v>
      </c>
      <c r="B171" t="str">
        <f t="shared" ca="1" si="16"/>
        <v>Store I</v>
      </c>
      <c r="C171" t="str">
        <f t="shared" ca="1" si="17"/>
        <v>Rep B</v>
      </c>
      <c r="D171" t="str">
        <f t="shared" ca="1" si="18"/>
        <v>Product F</v>
      </c>
      <c r="E171">
        <f t="shared" ca="1" si="19"/>
        <v>7</v>
      </c>
      <c r="F171" s="2">
        <f t="shared" ca="1" si="20"/>
        <v>23.73</v>
      </c>
      <c r="G171" s="2">
        <f t="shared" ca="1" si="14"/>
        <v>166.11</v>
      </c>
    </row>
    <row r="172" spans="1:7" x14ac:dyDescent="0.25">
      <c r="A172" s="1">
        <f t="shared" ca="1" si="15"/>
        <v>45296</v>
      </c>
      <c r="B172" t="str">
        <f t="shared" ca="1" si="16"/>
        <v>Store C</v>
      </c>
      <c r="C172" t="str">
        <f t="shared" ca="1" si="17"/>
        <v>Rep I</v>
      </c>
      <c r="D172" t="str">
        <f t="shared" ca="1" si="18"/>
        <v>Product G</v>
      </c>
      <c r="E172">
        <f t="shared" ca="1" si="19"/>
        <v>44</v>
      </c>
      <c r="F172" s="2">
        <f t="shared" ca="1" si="20"/>
        <v>20.54</v>
      </c>
      <c r="G172" s="2">
        <f t="shared" ca="1" si="14"/>
        <v>903.76</v>
      </c>
    </row>
    <row r="173" spans="1:7" x14ac:dyDescent="0.25">
      <c r="A173" s="1">
        <f t="shared" ca="1" si="15"/>
        <v>45627</v>
      </c>
      <c r="B173" t="str">
        <f t="shared" ca="1" si="16"/>
        <v>Store I</v>
      </c>
      <c r="C173" t="str">
        <f t="shared" ca="1" si="17"/>
        <v>Rep E</v>
      </c>
      <c r="D173" t="str">
        <f t="shared" ca="1" si="18"/>
        <v>Product J</v>
      </c>
      <c r="E173">
        <f t="shared" ca="1" si="19"/>
        <v>44</v>
      </c>
      <c r="F173" s="2">
        <f t="shared" ca="1" si="20"/>
        <v>17.760000000000002</v>
      </c>
      <c r="G173" s="2">
        <f t="shared" ca="1" si="14"/>
        <v>781.44</v>
      </c>
    </row>
    <row r="174" spans="1:7" x14ac:dyDescent="0.25">
      <c r="A174" s="1">
        <f t="shared" ca="1" si="15"/>
        <v>45588</v>
      </c>
      <c r="B174" t="str">
        <f t="shared" ca="1" si="16"/>
        <v>Store F</v>
      </c>
      <c r="C174" t="str">
        <f t="shared" ca="1" si="17"/>
        <v>Rep D</v>
      </c>
      <c r="D174" t="str">
        <f t="shared" ca="1" si="18"/>
        <v>Product I</v>
      </c>
      <c r="E174">
        <f t="shared" ca="1" si="19"/>
        <v>27</v>
      </c>
      <c r="F174" s="2">
        <f t="shared" ca="1" si="20"/>
        <v>17.02</v>
      </c>
      <c r="G174" s="2">
        <f t="shared" ca="1" si="14"/>
        <v>459.53999999999996</v>
      </c>
    </row>
    <row r="175" spans="1:7" x14ac:dyDescent="0.25">
      <c r="A175" s="1">
        <f t="shared" ca="1" si="15"/>
        <v>45308</v>
      </c>
      <c r="B175" t="str">
        <f t="shared" ca="1" si="16"/>
        <v>Store J</v>
      </c>
      <c r="C175" t="str">
        <f t="shared" ca="1" si="17"/>
        <v>Rep B</v>
      </c>
      <c r="D175" t="str">
        <f t="shared" ca="1" si="18"/>
        <v>Product B</v>
      </c>
      <c r="E175">
        <f t="shared" ca="1" si="19"/>
        <v>10</v>
      </c>
      <c r="F175" s="2">
        <f t="shared" ca="1" si="20"/>
        <v>12.34</v>
      </c>
      <c r="G175" s="2">
        <f t="shared" ca="1" si="14"/>
        <v>123.4</v>
      </c>
    </row>
    <row r="176" spans="1:7" x14ac:dyDescent="0.25">
      <c r="A176" s="1">
        <f t="shared" ca="1" si="15"/>
        <v>45623</v>
      </c>
      <c r="B176" t="str">
        <f t="shared" ca="1" si="16"/>
        <v>Store A</v>
      </c>
      <c r="C176" t="str">
        <f t="shared" ca="1" si="17"/>
        <v>Rep C</v>
      </c>
      <c r="D176" t="str">
        <f t="shared" ca="1" si="18"/>
        <v>Product C</v>
      </c>
      <c r="E176">
        <f t="shared" ca="1" si="19"/>
        <v>4</v>
      </c>
      <c r="F176" s="2">
        <f t="shared" ca="1" si="20"/>
        <v>8.64</v>
      </c>
      <c r="G176" s="2">
        <f t="shared" ca="1" si="14"/>
        <v>34.56</v>
      </c>
    </row>
    <row r="177" spans="1:7" x14ac:dyDescent="0.25">
      <c r="A177" s="1">
        <f t="shared" ca="1" si="15"/>
        <v>45515</v>
      </c>
      <c r="B177" t="str">
        <f t="shared" ca="1" si="16"/>
        <v>Store A</v>
      </c>
      <c r="C177" t="str">
        <f t="shared" ca="1" si="17"/>
        <v>Rep I</v>
      </c>
      <c r="D177" t="str">
        <f t="shared" ca="1" si="18"/>
        <v>Product I</v>
      </c>
      <c r="E177">
        <f t="shared" ca="1" si="19"/>
        <v>26</v>
      </c>
      <c r="F177" s="2">
        <f t="shared" ca="1" si="20"/>
        <v>29.88</v>
      </c>
      <c r="G177" s="2">
        <f t="shared" ca="1" si="14"/>
        <v>776.88</v>
      </c>
    </row>
    <row r="178" spans="1:7" x14ac:dyDescent="0.25">
      <c r="A178" s="1">
        <f t="shared" ca="1" si="15"/>
        <v>45508</v>
      </c>
      <c r="B178" t="str">
        <f t="shared" ca="1" si="16"/>
        <v>Store H</v>
      </c>
      <c r="C178" t="str">
        <f t="shared" ca="1" si="17"/>
        <v>Rep C</v>
      </c>
      <c r="D178" t="str">
        <f t="shared" ca="1" si="18"/>
        <v>Product D</v>
      </c>
      <c r="E178">
        <f t="shared" ca="1" si="19"/>
        <v>25</v>
      </c>
      <c r="F178" s="2">
        <f t="shared" ca="1" si="20"/>
        <v>15.34</v>
      </c>
      <c r="G178" s="2">
        <f t="shared" ca="1" si="14"/>
        <v>383.5</v>
      </c>
    </row>
    <row r="179" spans="1:7" x14ac:dyDescent="0.25">
      <c r="A179" s="1">
        <f t="shared" ca="1" si="15"/>
        <v>45486</v>
      </c>
      <c r="B179" t="str">
        <f t="shared" ca="1" si="16"/>
        <v>Store B</v>
      </c>
      <c r="C179" t="str">
        <f t="shared" ca="1" si="17"/>
        <v>Rep F</v>
      </c>
      <c r="D179" t="str">
        <f t="shared" ca="1" si="18"/>
        <v>Product I</v>
      </c>
      <c r="E179">
        <f t="shared" ca="1" si="19"/>
        <v>23</v>
      </c>
      <c r="F179" s="2">
        <f t="shared" ca="1" si="20"/>
        <v>15.28</v>
      </c>
      <c r="G179" s="2">
        <f t="shared" ca="1" si="14"/>
        <v>351.44</v>
      </c>
    </row>
    <row r="180" spans="1:7" x14ac:dyDescent="0.25">
      <c r="A180" s="1">
        <f t="shared" ca="1" si="15"/>
        <v>45574</v>
      </c>
      <c r="B180" t="str">
        <f t="shared" ca="1" si="16"/>
        <v>Store A</v>
      </c>
      <c r="C180" t="str">
        <f t="shared" ca="1" si="17"/>
        <v>Rep I</v>
      </c>
      <c r="D180" t="str">
        <f t="shared" ca="1" si="18"/>
        <v>Product H</v>
      </c>
      <c r="E180">
        <f t="shared" ca="1" si="19"/>
        <v>21</v>
      </c>
      <c r="F180" s="2">
        <f t="shared" ca="1" si="20"/>
        <v>12</v>
      </c>
      <c r="G180" s="2">
        <f t="shared" ca="1" si="14"/>
        <v>252</v>
      </c>
    </row>
    <row r="181" spans="1:7" x14ac:dyDescent="0.25">
      <c r="A181" s="1">
        <f t="shared" ca="1" si="15"/>
        <v>45293</v>
      </c>
      <c r="B181" t="str">
        <f t="shared" ca="1" si="16"/>
        <v>Store D</v>
      </c>
      <c r="C181" t="str">
        <f t="shared" ca="1" si="17"/>
        <v>Rep B</v>
      </c>
      <c r="D181" t="str">
        <f t="shared" ca="1" si="18"/>
        <v>Product A</v>
      </c>
      <c r="E181">
        <f t="shared" ca="1" si="19"/>
        <v>30</v>
      </c>
      <c r="F181" s="2">
        <f t="shared" ca="1" si="20"/>
        <v>13.47</v>
      </c>
      <c r="G181" s="2">
        <f t="shared" ca="1" si="14"/>
        <v>404.1</v>
      </c>
    </row>
    <row r="182" spans="1:7" x14ac:dyDescent="0.25">
      <c r="A182" s="1">
        <f t="shared" ca="1" si="15"/>
        <v>45409</v>
      </c>
      <c r="B182" t="str">
        <f t="shared" ca="1" si="16"/>
        <v>Store I</v>
      </c>
      <c r="C182" t="str">
        <f t="shared" ca="1" si="17"/>
        <v>Rep B</v>
      </c>
      <c r="D182" t="str">
        <f t="shared" ca="1" si="18"/>
        <v>Product F</v>
      </c>
      <c r="E182">
        <f t="shared" ca="1" si="19"/>
        <v>16</v>
      </c>
      <c r="F182" s="2">
        <f t="shared" ca="1" si="20"/>
        <v>20.92</v>
      </c>
      <c r="G182" s="2">
        <f t="shared" ca="1" si="14"/>
        <v>334.72</v>
      </c>
    </row>
    <row r="183" spans="1:7" x14ac:dyDescent="0.25">
      <c r="A183" s="1">
        <f t="shared" ca="1" si="15"/>
        <v>45433</v>
      </c>
      <c r="B183" t="str">
        <f t="shared" ca="1" si="16"/>
        <v>Store H</v>
      </c>
      <c r="C183" t="str">
        <f t="shared" ca="1" si="17"/>
        <v>Rep B</v>
      </c>
      <c r="D183" t="str">
        <f t="shared" ca="1" si="18"/>
        <v>Product I</v>
      </c>
      <c r="E183">
        <f t="shared" ca="1" si="19"/>
        <v>33</v>
      </c>
      <c r="F183" s="2">
        <f t="shared" ca="1" si="20"/>
        <v>17.12</v>
      </c>
      <c r="G183" s="2">
        <f t="shared" ca="1" si="14"/>
        <v>564.96</v>
      </c>
    </row>
    <row r="184" spans="1:7" x14ac:dyDescent="0.25">
      <c r="A184" s="1">
        <f t="shared" ca="1" si="15"/>
        <v>45420</v>
      </c>
      <c r="B184" t="str">
        <f t="shared" ca="1" si="16"/>
        <v>Store E</v>
      </c>
      <c r="C184" t="str">
        <f t="shared" ca="1" si="17"/>
        <v>Rep G</v>
      </c>
      <c r="D184" t="str">
        <f t="shared" ca="1" si="18"/>
        <v>Product J</v>
      </c>
      <c r="E184">
        <f t="shared" ca="1" si="19"/>
        <v>19</v>
      </c>
      <c r="F184" s="2">
        <f t="shared" ca="1" si="20"/>
        <v>2.0699999999999998</v>
      </c>
      <c r="G184" s="2">
        <f t="shared" ca="1" si="14"/>
        <v>39.33</v>
      </c>
    </row>
    <row r="185" spans="1:7" x14ac:dyDescent="0.25">
      <c r="A185" s="1">
        <f t="shared" ca="1" si="15"/>
        <v>45353</v>
      </c>
      <c r="B185" t="str">
        <f t="shared" ca="1" si="16"/>
        <v>Store I</v>
      </c>
      <c r="C185" t="str">
        <f t="shared" ca="1" si="17"/>
        <v>Rep D</v>
      </c>
      <c r="D185" t="str">
        <f t="shared" ca="1" si="18"/>
        <v>Product F</v>
      </c>
      <c r="E185">
        <f t="shared" ca="1" si="19"/>
        <v>15</v>
      </c>
      <c r="F185" s="2">
        <f t="shared" ca="1" si="20"/>
        <v>13.99</v>
      </c>
      <c r="G185" s="2">
        <f t="shared" ca="1" si="14"/>
        <v>209.85</v>
      </c>
    </row>
    <row r="186" spans="1:7" x14ac:dyDescent="0.25">
      <c r="A186" s="1">
        <f t="shared" ca="1" si="15"/>
        <v>45336</v>
      </c>
      <c r="B186" t="str">
        <f t="shared" ca="1" si="16"/>
        <v>Store H</v>
      </c>
      <c r="C186" t="str">
        <f t="shared" ca="1" si="17"/>
        <v>Rep H</v>
      </c>
      <c r="D186" t="str">
        <f t="shared" ca="1" si="18"/>
        <v>Product G</v>
      </c>
      <c r="E186">
        <f t="shared" ca="1" si="19"/>
        <v>45</v>
      </c>
      <c r="F186" s="2">
        <f t="shared" ca="1" si="20"/>
        <v>7.79</v>
      </c>
      <c r="G186" s="2">
        <f t="shared" ca="1" si="14"/>
        <v>350.55</v>
      </c>
    </row>
    <row r="187" spans="1:7" x14ac:dyDescent="0.25">
      <c r="A187" s="1">
        <f t="shared" ca="1" si="15"/>
        <v>45580</v>
      </c>
      <c r="B187" t="str">
        <f t="shared" ca="1" si="16"/>
        <v>Store A</v>
      </c>
      <c r="C187" t="str">
        <f t="shared" ca="1" si="17"/>
        <v>Rep B</v>
      </c>
      <c r="D187" t="str">
        <f t="shared" ca="1" si="18"/>
        <v>Product F</v>
      </c>
      <c r="E187">
        <f t="shared" ca="1" si="19"/>
        <v>38</v>
      </c>
      <c r="F187" s="2">
        <f t="shared" ca="1" si="20"/>
        <v>20.88</v>
      </c>
      <c r="G187" s="2">
        <f t="shared" ca="1" si="14"/>
        <v>793.43999999999994</v>
      </c>
    </row>
    <row r="188" spans="1:7" x14ac:dyDescent="0.25">
      <c r="A188" s="1">
        <f t="shared" ca="1" si="15"/>
        <v>45595</v>
      </c>
      <c r="B188" t="str">
        <f t="shared" ca="1" si="16"/>
        <v>Store F</v>
      </c>
      <c r="C188" t="str">
        <f t="shared" ca="1" si="17"/>
        <v>Rep C</v>
      </c>
      <c r="D188" t="str">
        <f t="shared" ca="1" si="18"/>
        <v>Product A</v>
      </c>
      <c r="E188">
        <f t="shared" ca="1" si="19"/>
        <v>15</v>
      </c>
      <c r="F188" s="2">
        <f t="shared" ca="1" si="20"/>
        <v>7.55</v>
      </c>
      <c r="G188" s="2">
        <f t="shared" ca="1" si="14"/>
        <v>113.25</v>
      </c>
    </row>
    <row r="189" spans="1:7" x14ac:dyDescent="0.25">
      <c r="A189" s="1">
        <f t="shared" ca="1" si="15"/>
        <v>45356</v>
      </c>
      <c r="B189" t="str">
        <f t="shared" ca="1" si="16"/>
        <v>Store I</v>
      </c>
      <c r="C189" t="str">
        <f t="shared" ca="1" si="17"/>
        <v>Rep I</v>
      </c>
      <c r="D189" t="str">
        <f t="shared" ca="1" si="18"/>
        <v>Product F</v>
      </c>
      <c r="E189">
        <f t="shared" ca="1" si="19"/>
        <v>34</v>
      </c>
      <c r="F189" s="2">
        <f t="shared" ca="1" si="20"/>
        <v>29.26</v>
      </c>
      <c r="G189" s="2">
        <f t="shared" ca="1" si="14"/>
        <v>994.84</v>
      </c>
    </row>
    <row r="190" spans="1:7" x14ac:dyDescent="0.25">
      <c r="A190" s="1">
        <f t="shared" ca="1" si="15"/>
        <v>45455</v>
      </c>
      <c r="B190" t="str">
        <f t="shared" ca="1" si="16"/>
        <v>Store A</v>
      </c>
      <c r="C190" t="str">
        <f t="shared" ca="1" si="17"/>
        <v>Rep B</v>
      </c>
      <c r="D190" t="str">
        <f t="shared" ca="1" si="18"/>
        <v>Product F</v>
      </c>
      <c r="E190">
        <f t="shared" ca="1" si="19"/>
        <v>5</v>
      </c>
      <c r="F190" s="2">
        <f t="shared" ca="1" si="20"/>
        <v>20.61</v>
      </c>
      <c r="G190" s="2">
        <f t="shared" ca="1" si="14"/>
        <v>103.05</v>
      </c>
    </row>
    <row r="191" spans="1:7" x14ac:dyDescent="0.25">
      <c r="A191" s="1">
        <f t="shared" ca="1" si="15"/>
        <v>45524</v>
      </c>
      <c r="B191" t="str">
        <f t="shared" ca="1" si="16"/>
        <v>Store C</v>
      </c>
      <c r="C191" t="str">
        <f t="shared" ca="1" si="17"/>
        <v>Rep B</v>
      </c>
      <c r="D191" t="str">
        <f t="shared" ca="1" si="18"/>
        <v>Product J</v>
      </c>
      <c r="E191">
        <f t="shared" ca="1" si="19"/>
        <v>31</v>
      </c>
      <c r="F191" s="2">
        <f t="shared" ca="1" si="20"/>
        <v>22.4</v>
      </c>
      <c r="G191" s="2">
        <f t="shared" ca="1" si="14"/>
        <v>694.4</v>
      </c>
    </row>
    <row r="192" spans="1:7" x14ac:dyDescent="0.25">
      <c r="A192" s="1">
        <f t="shared" ca="1" si="15"/>
        <v>45611</v>
      </c>
      <c r="B192" t="str">
        <f t="shared" ca="1" si="16"/>
        <v>Store F</v>
      </c>
      <c r="C192" t="str">
        <f t="shared" ca="1" si="17"/>
        <v>Rep C</v>
      </c>
      <c r="D192" t="str">
        <f t="shared" ca="1" si="18"/>
        <v>Product G</v>
      </c>
      <c r="E192">
        <f t="shared" ca="1" si="19"/>
        <v>43</v>
      </c>
      <c r="F192" s="2">
        <f t="shared" ca="1" si="20"/>
        <v>12.6</v>
      </c>
      <c r="G192" s="2">
        <f t="shared" ca="1" si="14"/>
        <v>541.79999999999995</v>
      </c>
    </row>
    <row r="193" spans="1:7" x14ac:dyDescent="0.25">
      <c r="A193" s="1">
        <f t="shared" ca="1" si="15"/>
        <v>45440</v>
      </c>
      <c r="B193" t="str">
        <f t="shared" ca="1" si="16"/>
        <v>Store C</v>
      </c>
      <c r="C193" t="str">
        <f t="shared" ca="1" si="17"/>
        <v>Rep E</v>
      </c>
      <c r="D193" t="str">
        <f t="shared" ca="1" si="18"/>
        <v>Product H</v>
      </c>
      <c r="E193">
        <f t="shared" ca="1" si="19"/>
        <v>37</v>
      </c>
      <c r="F193" s="2">
        <f t="shared" ca="1" si="20"/>
        <v>7.07</v>
      </c>
      <c r="G193" s="2">
        <f t="shared" ca="1" si="14"/>
        <v>261.59000000000003</v>
      </c>
    </row>
    <row r="194" spans="1:7" x14ac:dyDescent="0.25">
      <c r="A194" s="1">
        <f t="shared" ca="1" si="15"/>
        <v>45547</v>
      </c>
      <c r="B194" t="str">
        <f t="shared" ca="1" si="16"/>
        <v>Store C</v>
      </c>
      <c r="C194" t="str">
        <f t="shared" ca="1" si="17"/>
        <v>Rep C</v>
      </c>
      <c r="D194" t="str">
        <f t="shared" ca="1" si="18"/>
        <v>Product H</v>
      </c>
      <c r="E194">
        <f t="shared" ca="1" si="19"/>
        <v>23</v>
      </c>
      <c r="F194" s="2">
        <f t="shared" ca="1" si="20"/>
        <v>10.56</v>
      </c>
      <c r="G194" s="2">
        <f t="shared" ref="G194:G257" ca="1" si="21">E194*F194</f>
        <v>242.88000000000002</v>
      </c>
    </row>
    <row r="195" spans="1:7" x14ac:dyDescent="0.25">
      <c r="A195" s="1">
        <f t="shared" ref="A195:A219" ca="1" si="22">RANDBETWEEN(DATE(2024,1,1),DATE(2024,12,31))</f>
        <v>45643</v>
      </c>
      <c r="B195" t="str">
        <f t="shared" ref="B195:B258" ca="1" si="23">CHOOSE(RANDBETWEEN(1,10),"Store A","Store B","Store C","Store D","Store E","Store F","Store G","Store H","Store I","Store J")</f>
        <v>Store J</v>
      </c>
      <c r="C195" t="str">
        <f t="shared" ref="C195:C258" ca="1" si="24">CHOOSE(RANDBETWEEN(1,10),"Rep A","Rep B","Rep C","Rep D","Rep E","Rep F","Rep G","Rep H","Rep I","Rep J")</f>
        <v>Rep F</v>
      </c>
      <c r="D195" t="str">
        <f t="shared" ref="D195:D258" ca="1" si="25">CHOOSE(RANDBETWEEN(1,10),"Product A","Product B","Product C","Product D","Product E","Product F","Product G","Product H","Product I","Product J")</f>
        <v>Product C</v>
      </c>
      <c r="E195">
        <f t="shared" ref="E195:E258" ca="1" si="26">RANDBETWEEN(1,50)</f>
        <v>14</v>
      </c>
      <c r="F195" s="2">
        <f t="shared" ref="F195:F258" ca="1" si="27">ROUND(2+28*RAND(),2)</f>
        <v>4.17</v>
      </c>
      <c r="G195" s="2">
        <f t="shared" ca="1" si="21"/>
        <v>58.379999999999995</v>
      </c>
    </row>
    <row r="196" spans="1:7" x14ac:dyDescent="0.25">
      <c r="A196" s="1">
        <f t="shared" ca="1" si="22"/>
        <v>45414</v>
      </c>
      <c r="B196" t="str">
        <f t="shared" ca="1" si="23"/>
        <v>Store H</v>
      </c>
      <c r="C196" t="str">
        <f t="shared" ca="1" si="24"/>
        <v>Rep H</v>
      </c>
      <c r="D196" t="str">
        <f t="shared" ca="1" si="25"/>
        <v>Product G</v>
      </c>
      <c r="E196">
        <f t="shared" ca="1" si="26"/>
        <v>17</v>
      </c>
      <c r="F196" s="2">
        <f t="shared" ca="1" si="27"/>
        <v>18.14</v>
      </c>
      <c r="G196" s="2">
        <f t="shared" ca="1" si="21"/>
        <v>308.38</v>
      </c>
    </row>
    <row r="197" spans="1:7" x14ac:dyDescent="0.25">
      <c r="A197" s="1">
        <f t="shared" ca="1" si="22"/>
        <v>45587</v>
      </c>
      <c r="B197" t="str">
        <f t="shared" ca="1" si="23"/>
        <v>Store F</v>
      </c>
      <c r="C197" t="str">
        <f t="shared" ca="1" si="24"/>
        <v>Rep C</v>
      </c>
      <c r="D197" t="str">
        <f t="shared" ca="1" si="25"/>
        <v>Product J</v>
      </c>
      <c r="E197">
        <f t="shared" ca="1" si="26"/>
        <v>32</v>
      </c>
      <c r="F197" s="2">
        <f t="shared" ca="1" si="27"/>
        <v>14.75</v>
      </c>
      <c r="G197" s="2">
        <f t="shared" ca="1" si="21"/>
        <v>472</v>
      </c>
    </row>
    <row r="198" spans="1:7" x14ac:dyDescent="0.25">
      <c r="A198" s="1">
        <f t="shared" ca="1" si="22"/>
        <v>45552</v>
      </c>
      <c r="B198" t="str">
        <f t="shared" ca="1" si="23"/>
        <v>Store J</v>
      </c>
      <c r="C198" t="str">
        <f t="shared" ca="1" si="24"/>
        <v>Rep J</v>
      </c>
      <c r="D198" t="str">
        <f t="shared" ca="1" si="25"/>
        <v>Product G</v>
      </c>
      <c r="E198">
        <f t="shared" ca="1" si="26"/>
        <v>30</v>
      </c>
      <c r="F198" s="2">
        <f t="shared" ca="1" si="27"/>
        <v>28.72</v>
      </c>
      <c r="G198" s="2">
        <f t="shared" ca="1" si="21"/>
        <v>861.59999999999991</v>
      </c>
    </row>
    <row r="199" spans="1:7" x14ac:dyDescent="0.25">
      <c r="A199" s="1">
        <f t="shared" ca="1" si="22"/>
        <v>45580</v>
      </c>
      <c r="B199" t="str">
        <f t="shared" ca="1" si="23"/>
        <v>Store G</v>
      </c>
      <c r="C199" t="str">
        <f t="shared" ca="1" si="24"/>
        <v>Rep D</v>
      </c>
      <c r="D199" t="str">
        <f t="shared" ca="1" si="25"/>
        <v>Product F</v>
      </c>
      <c r="E199">
        <f t="shared" ca="1" si="26"/>
        <v>40</v>
      </c>
      <c r="F199" s="2">
        <f t="shared" ca="1" si="27"/>
        <v>4.66</v>
      </c>
      <c r="G199" s="2">
        <f t="shared" ca="1" si="21"/>
        <v>186.4</v>
      </c>
    </row>
    <row r="200" spans="1:7" x14ac:dyDescent="0.25">
      <c r="A200" s="1">
        <f t="shared" ca="1" si="22"/>
        <v>45592</v>
      </c>
      <c r="B200" t="str">
        <f t="shared" ca="1" si="23"/>
        <v>Store E</v>
      </c>
      <c r="C200" t="str">
        <f t="shared" ca="1" si="24"/>
        <v>Rep H</v>
      </c>
      <c r="D200" t="str">
        <f t="shared" ca="1" si="25"/>
        <v>Product J</v>
      </c>
      <c r="E200">
        <f t="shared" ca="1" si="26"/>
        <v>24</v>
      </c>
      <c r="F200" s="2">
        <f t="shared" ca="1" si="27"/>
        <v>16.45</v>
      </c>
      <c r="G200" s="2">
        <f t="shared" ca="1" si="21"/>
        <v>394.79999999999995</v>
      </c>
    </row>
    <row r="201" spans="1:7" x14ac:dyDescent="0.25">
      <c r="A201" s="1">
        <f t="shared" ca="1" si="22"/>
        <v>45479</v>
      </c>
      <c r="B201" t="str">
        <f t="shared" ca="1" si="23"/>
        <v>Store F</v>
      </c>
      <c r="C201" t="str">
        <f t="shared" ca="1" si="24"/>
        <v>Rep G</v>
      </c>
      <c r="D201" t="str">
        <f t="shared" ca="1" si="25"/>
        <v>Product D</v>
      </c>
      <c r="E201">
        <f t="shared" ca="1" si="26"/>
        <v>8</v>
      </c>
      <c r="F201" s="2">
        <f t="shared" ca="1" si="27"/>
        <v>14.12</v>
      </c>
      <c r="G201" s="2">
        <f t="shared" ca="1" si="21"/>
        <v>112.96</v>
      </c>
    </row>
    <row r="202" spans="1:7" x14ac:dyDescent="0.25">
      <c r="A202" s="1">
        <f t="shared" ca="1" si="22"/>
        <v>45510</v>
      </c>
      <c r="B202" t="str">
        <f t="shared" ca="1" si="23"/>
        <v>Store H</v>
      </c>
      <c r="C202" t="str">
        <f t="shared" ca="1" si="24"/>
        <v>Rep E</v>
      </c>
      <c r="D202" t="str">
        <f t="shared" ca="1" si="25"/>
        <v>Product F</v>
      </c>
      <c r="E202">
        <f t="shared" ca="1" si="26"/>
        <v>4</v>
      </c>
      <c r="F202" s="2">
        <f t="shared" ca="1" si="27"/>
        <v>3.26</v>
      </c>
      <c r="G202" s="2">
        <f t="shared" ca="1" si="21"/>
        <v>13.04</v>
      </c>
    </row>
    <row r="203" spans="1:7" x14ac:dyDescent="0.25">
      <c r="A203" s="1">
        <f t="shared" ca="1" si="22"/>
        <v>45402</v>
      </c>
      <c r="B203" t="str">
        <f t="shared" ca="1" si="23"/>
        <v>Store D</v>
      </c>
      <c r="C203" t="str">
        <f t="shared" ca="1" si="24"/>
        <v>Rep F</v>
      </c>
      <c r="D203" t="str">
        <f t="shared" ca="1" si="25"/>
        <v>Product H</v>
      </c>
      <c r="E203">
        <f t="shared" ca="1" si="26"/>
        <v>37</v>
      </c>
      <c r="F203" s="2">
        <f t="shared" ca="1" si="27"/>
        <v>23.44</v>
      </c>
      <c r="G203" s="2">
        <f t="shared" ca="1" si="21"/>
        <v>867.28000000000009</v>
      </c>
    </row>
    <row r="204" spans="1:7" x14ac:dyDescent="0.25">
      <c r="A204" s="1">
        <f t="shared" ca="1" si="22"/>
        <v>45471</v>
      </c>
      <c r="B204" t="str">
        <f t="shared" ca="1" si="23"/>
        <v>Store E</v>
      </c>
      <c r="C204" t="str">
        <f t="shared" ca="1" si="24"/>
        <v>Rep C</v>
      </c>
      <c r="D204" t="str">
        <f t="shared" ca="1" si="25"/>
        <v>Product C</v>
      </c>
      <c r="E204">
        <f t="shared" ca="1" si="26"/>
        <v>5</v>
      </c>
      <c r="F204" s="2">
        <f t="shared" ca="1" si="27"/>
        <v>24.94</v>
      </c>
      <c r="G204" s="2">
        <f t="shared" ca="1" si="21"/>
        <v>124.7</v>
      </c>
    </row>
    <row r="205" spans="1:7" x14ac:dyDescent="0.25">
      <c r="A205" s="1">
        <f t="shared" ca="1" si="22"/>
        <v>45548</v>
      </c>
      <c r="B205" t="str">
        <f t="shared" ca="1" si="23"/>
        <v>Store I</v>
      </c>
      <c r="C205" t="str">
        <f t="shared" ca="1" si="24"/>
        <v>Rep B</v>
      </c>
      <c r="D205" t="str">
        <f t="shared" ca="1" si="25"/>
        <v>Product A</v>
      </c>
      <c r="E205">
        <f t="shared" ca="1" si="26"/>
        <v>17</v>
      </c>
      <c r="F205" s="2">
        <f t="shared" ca="1" si="27"/>
        <v>27.52</v>
      </c>
      <c r="G205" s="2">
        <f t="shared" ca="1" si="21"/>
        <v>467.84</v>
      </c>
    </row>
    <row r="206" spans="1:7" x14ac:dyDescent="0.25">
      <c r="A206" s="1">
        <f t="shared" ca="1" si="22"/>
        <v>45370</v>
      </c>
      <c r="B206" t="str">
        <f t="shared" ca="1" si="23"/>
        <v>Store J</v>
      </c>
      <c r="C206" t="str">
        <f t="shared" ca="1" si="24"/>
        <v>Rep E</v>
      </c>
      <c r="D206" t="str">
        <f t="shared" ca="1" si="25"/>
        <v>Product F</v>
      </c>
      <c r="E206">
        <f t="shared" ca="1" si="26"/>
        <v>14</v>
      </c>
      <c r="F206" s="2">
        <f t="shared" ca="1" si="27"/>
        <v>7.6</v>
      </c>
      <c r="G206" s="2">
        <f t="shared" ca="1" si="21"/>
        <v>106.39999999999999</v>
      </c>
    </row>
    <row r="207" spans="1:7" x14ac:dyDescent="0.25">
      <c r="A207" s="1">
        <f t="shared" ca="1" si="22"/>
        <v>45300</v>
      </c>
      <c r="B207" t="str">
        <f t="shared" ca="1" si="23"/>
        <v>Store J</v>
      </c>
      <c r="C207" t="str">
        <f t="shared" ca="1" si="24"/>
        <v>Rep A</v>
      </c>
      <c r="D207" t="str">
        <f t="shared" ca="1" si="25"/>
        <v>Product I</v>
      </c>
      <c r="E207">
        <f t="shared" ca="1" si="26"/>
        <v>9</v>
      </c>
      <c r="F207" s="2">
        <f t="shared" ca="1" si="27"/>
        <v>26.96</v>
      </c>
      <c r="G207" s="2">
        <f t="shared" ca="1" si="21"/>
        <v>242.64000000000001</v>
      </c>
    </row>
    <row r="208" spans="1:7" x14ac:dyDescent="0.25">
      <c r="A208" s="1">
        <f t="shared" ca="1" si="22"/>
        <v>45634</v>
      </c>
      <c r="B208" t="str">
        <f t="shared" ca="1" si="23"/>
        <v>Store C</v>
      </c>
      <c r="C208" t="str">
        <f t="shared" ca="1" si="24"/>
        <v>Rep F</v>
      </c>
      <c r="D208" t="str">
        <f t="shared" ca="1" si="25"/>
        <v>Product G</v>
      </c>
      <c r="E208">
        <f t="shared" ca="1" si="26"/>
        <v>37</v>
      </c>
      <c r="F208" s="2">
        <f t="shared" ca="1" si="27"/>
        <v>22.61</v>
      </c>
      <c r="G208" s="2">
        <f t="shared" ca="1" si="21"/>
        <v>836.56999999999994</v>
      </c>
    </row>
    <row r="209" spans="1:7" x14ac:dyDescent="0.25">
      <c r="A209" s="1">
        <f t="shared" ca="1" si="22"/>
        <v>45501</v>
      </c>
      <c r="B209" t="str">
        <f t="shared" ca="1" si="23"/>
        <v>Store C</v>
      </c>
      <c r="C209" t="str">
        <f t="shared" ca="1" si="24"/>
        <v>Rep I</v>
      </c>
      <c r="D209" t="str">
        <f t="shared" ca="1" si="25"/>
        <v>Product I</v>
      </c>
      <c r="E209">
        <f t="shared" ca="1" si="26"/>
        <v>45</v>
      </c>
      <c r="F209" s="2">
        <f t="shared" ca="1" si="27"/>
        <v>17.989999999999998</v>
      </c>
      <c r="G209" s="2">
        <f t="shared" ca="1" si="21"/>
        <v>809.55</v>
      </c>
    </row>
    <row r="210" spans="1:7" x14ac:dyDescent="0.25">
      <c r="A210" s="1">
        <f t="shared" ca="1" si="22"/>
        <v>45302</v>
      </c>
      <c r="B210" t="str">
        <f t="shared" ca="1" si="23"/>
        <v>Store I</v>
      </c>
      <c r="C210" t="str">
        <f t="shared" ca="1" si="24"/>
        <v>Rep B</v>
      </c>
      <c r="D210" t="str">
        <f t="shared" ca="1" si="25"/>
        <v>Product A</v>
      </c>
      <c r="E210">
        <f t="shared" ca="1" si="26"/>
        <v>8</v>
      </c>
      <c r="F210" s="2">
        <f t="shared" ca="1" si="27"/>
        <v>13.99</v>
      </c>
      <c r="G210" s="2">
        <f t="shared" ca="1" si="21"/>
        <v>111.92</v>
      </c>
    </row>
    <row r="211" spans="1:7" x14ac:dyDescent="0.25">
      <c r="A211" s="1">
        <f t="shared" ca="1" si="22"/>
        <v>45292</v>
      </c>
      <c r="B211" t="str">
        <f t="shared" ca="1" si="23"/>
        <v>Store G</v>
      </c>
      <c r="C211" t="str">
        <f t="shared" ca="1" si="24"/>
        <v>Rep B</v>
      </c>
      <c r="D211" t="str">
        <f t="shared" ca="1" si="25"/>
        <v>Product C</v>
      </c>
      <c r="E211">
        <f t="shared" ca="1" si="26"/>
        <v>6</v>
      </c>
      <c r="F211" s="2">
        <f t="shared" ca="1" si="27"/>
        <v>22.07</v>
      </c>
      <c r="G211" s="2">
        <f t="shared" ca="1" si="21"/>
        <v>132.42000000000002</v>
      </c>
    </row>
    <row r="212" spans="1:7" x14ac:dyDescent="0.25">
      <c r="A212" s="1">
        <f t="shared" ca="1" si="22"/>
        <v>45617</v>
      </c>
      <c r="B212" t="str">
        <f t="shared" ca="1" si="23"/>
        <v>Store D</v>
      </c>
      <c r="C212" t="str">
        <f t="shared" ca="1" si="24"/>
        <v>Rep A</v>
      </c>
      <c r="D212" t="str">
        <f t="shared" ca="1" si="25"/>
        <v>Product A</v>
      </c>
      <c r="E212">
        <f t="shared" ca="1" si="26"/>
        <v>27</v>
      </c>
      <c r="F212" s="2">
        <f t="shared" ca="1" si="27"/>
        <v>9.5500000000000007</v>
      </c>
      <c r="G212" s="2">
        <f t="shared" ca="1" si="21"/>
        <v>257.85000000000002</v>
      </c>
    </row>
    <row r="213" spans="1:7" x14ac:dyDescent="0.25">
      <c r="A213" s="1">
        <f t="shared" ca="1" si="22"/>
        <v>45337</v>
      </c>
      <c r="B213" t="str">
        <f t="shared" ca="1" si="23"/>
        <v>Store H</v>
      </c>
      <c r="C213" t="str">
        <f t="shared" ca="1" si="24"/>
        <v>Rep F</v>
      </c>
      <c r="D213" t="str">
        <f t="shared" ca="1" si="25"/>
        <v>Product G</v>
      </c>
      <c r="E213">
        <f t="shared" ca="1" si="26"/>
        <v>27</v>
      </c>
      <c r="F213" s="2">
        <f t="shared" ca="1" si="27"/>
        <v>25.64</v>
      </c>
      <c r="G213" s="2">
        <f t="shared" ca="1" si="21"/>
        <v>692.28</v>
      </c>
    </row>
    <row r="214" spans="1:7" x14ac:dyDescent="0.25">
      <c r="A214" s="1">
        <f t="shared" ca="1" si="22"/>
        <v>45437</v>
      </c>
      <c r="B214" t="str">
        <f t="shared" ca="1" si="23"/>
        <v>Store B</v>
      </c>
      <c r="C214" t="str">
        <f t="shared" ca="1" si="24"/>
        <v>Rep A</v>
      </c>
      <c r="D214" t="str">
        <f t="shared" ca="1" si="25"/>
        <v>Product J</v>
      </c>
      <c r="E214">
        <f t="shared" ca="1" si="26"/>
        <v>2</v>
      </c>
      <c r="F214" s="2">
        <f t="shared" ca="1" si="27"/>
        <v>11.8</v>
      </c>
      <c r="G214" s="2">
        <f t="shared" ca="1" si="21"/>
        <v>23.6</v>
      </c>
    </row>
    <row r="215" spans="1:7" x14ac:dyDescent="0.25">
      <c r="A215" s="1">
        <f t="shared" ca="1" si="22"/>
        <v>45400</v>
      </c>
      <c r="B215" t="str">
        <f t="shared" ca="1" si="23"/>
        <v>Store A</v>
      </c>
      <c r="C215" t="str">
        <f t="shared" ca="1" si="24"/>
        <v>Rep E</v>
      </c>
      <c r="D215" t="str">
        <f t="shared" ca="1" si="25"/>
        <v>Product H</v>
      </c>
      <c r="E215">
        <f t="shared" ca="1" si="26"/>
        <v>38</v>
      </c>
      <c r="F215" s="2">
        <f t="shared" ca="1" si="27"/>
        <v>23.49</v>
      </c>
      <c r="G215" s="2">
        <f t="shared" ca="1" si="21"/>
        <v>892.61999999999989</v>
      </c>
    </row>
    <row r="216" spans="1:7" x14ac:dyDescent="0.25">
      <c r="A216" s="1">
        <f t="shared" ca="1" si="22"/>
        <v>45330</v>
      </c>
      <c r="B216" t="str">
        <f t="shared" ca="1" si="23"/>
        <v>Store B</v>
      </c>
      <c r="C216" t="str">
        <f t="shared" ca="1" si="24"/>
        <v>Rep A</v>
      </c>
      <c r="D216" t="str">
        <f t="shared" ca="1" si="25"/>
        <v>Product J</v>
      </c>
      <c r="E216">
        <f t="shared" ca="1" si="26"/>
        <v>6</v>
      </c>
      <c r="F216" s="2">
        <f t="shared" ca="1" si="27"/>
        <v>23.22</v>
      </c>
      <c r="G216" s="2">
        <f t="shared" ca="1" si="21"/>
        <v>139.32</v>
      </c>
    </row>
    <row r="217" spans="1:7" x14ac:dyDescent="0.25">
      <c r="A217" s="1">
        <f t="shared" ca="1" si="22"/>
        <v>45528</v>
      </c>
      <c r="B217" t="str">
        <f t="shared" ca="1" si="23"/>
        <v>Store E</v>
      </c>
      <c r="C217" t="str">
        <f t="shared" ca="1" si="24"/>
        <v>Rep C</v>
      </c>
      <c r="D217" t="str">
        <f t="shared" ca="1" si="25"/>
        <v>Product C</v>
      </c>
      <c r="E217">
        <f t="shared" ca="1" si="26"/>
        <v>5</v>
      </c>
      <c r="F217" s="2">
        <f t="shared" ca="1" si="27"/>
        <v>29.01</v>
      </c>
      <c r="G217" s="2">
        <f t="shared" ca="1" si="21"/>
        <v>145.05000000000001</v>
      </c>
    </row>
    <row r="218" spans="1:7" x14ac:dyDescent="0.25">
      <c r="A218" s="1">
        <f t="shared" ca="1" si="22"/>
        <v>45305</v>
      </c>
      <c r="B218" t="str">
        <f t="shared" ca="1" si="23"/>
        <v>Store D</v>
      </c>
      <c r="C218" t="str">
        <f t="shared" ca="1" si="24"/>
        <v>Rep A</v>
      </c>
      <c r="D218" t="str">
        <f t="shared" ca="1" si="25"/>
        <v>Product D</v>
      </c>
      <c r="E218">
        <f t="shared" ca="1" si="26"/>
        <v>35</v>
      </c>
      <c r="F218" s="2">
        <f t="shared" ca="1" si="27"/>
        <v>23.96</v>
      </c>
      <c r="G218" s="2">
        <f t="shared" ca="1" si="21"/>
        <v>838.6</v>
      </c>
    </row>
    <row r="219" spans="1:7" x14ac:dyDescent="0.25">
      <c r="A219" s="1">
        <f t="shared" ca="1" si="22"/>
        <v>45304</v>
      </c>
      <c r="B219" t="str">
        <f t="shared" ca="1" si="23"/>
        <v>Store J</v>
      </c>
      <c r="C219" t="str">
        <f t="shared" ca="1" si="24"/>
        <v>Rep B</v>
      </c>
      <c r="D219" t="str">
        <f t="shared" ca="1" si="25"/>
        <v>Product H</v>
      </c>
      <c r="E219">
        <f t="shared" ca="1" si="26"/>
        <v>33</v>
      </c>
      <c r="F219" s="2">
        <f t="shared" ca="1" si="27"/>
        <v>24.77</v>
      </c>
      <c r="G219" s="2">
        <f t="shared" ca="1" si="21"/>
        <v>817.41</v>
      </c>
    </row>
    <row r="220" spans="1:7" x14ac:dyDescent="0.25">
      <c r="A220" s="1">
        <f ca="1">RANDBETWEEN(DATE(2024,1,1),DATE(2024,12,31))</f>
        <v>45328</v>
      </c>
      <c r="B220" t="str">
        <f t="shared" ca="1" si="23"/>
        <v>Store D</v>
      </c>
      <c r="C220" t="str">
        <f t="shared" ca="1" si="24"/>
        <v>Rep H</v>
      </c>
      <c r="D220" t="str">
        <f t="shared" ca="1" si="25"/>
        <v>Product J</v>
      </c>
      <c r="E220">
        <f t="shared" ca="1" si="26"/>
        <v>47</v>
      </c>
      <c r="F220" s="2">
        <f t="shared" ca="1" si="27"/>
        <v>15.21</v>
      </c>
      <c r="G220" s="2">
        <f t="shared" ca="1" si="21"/>
        <v>714.87</v>
      </c>
    </row>
    <row r="221" spans="1:7" x14ac:dyDescent="0.25">
      <c r="A221" s="1">
        <f t="shared" ref="A221:A284" ca="1" si="28">RANDBETWEEN(DATE(2024,1,1),DATE(2024,12,31))</f>
        <v>45564</v>
      </c>
      <c r="B221" t="str">
        <f t="shared" ca="1" si="23"/>
        <v>Store E</v>
      </c>
      <c r="C221" t="str">
        <f t="shared" ca="1" si="24"/>
        <v>Rep D</v>
      </c>
      <c r="D221" t="str">
        <f t="shared" ca="1" si="25"/>
        <v>Product J</v>
      </c>
      <c r="E221">
        <f t="shared" ca="1" si="26"/>
        <v>4</v>
      </c>
      <c r="F221" s="2">
        <f t="shared" ca="1" si="27"/>
        <v>8.7200000000000006</v>
      </c>
      <c r="G221" s="2">
        <f t="shared" ca="1" si="21"/>
        <v>34.880000000000003</v>
      </c>
    </row>
    <row r="222" spans="1:7" x14ac:dyDescent="0.25">
      <c r="A222" s="1">
        <f t="shared" ca="1" si="28"/>
        <v>45614</v>
      </c>
      <c r="B222" t="str">
        <f t="shared" ca="1" si="23"/>
        <v>Store A</v>
      </c>
      <c r="C222" t="str">
        <f t="shared" ca="1" si="24"/>
        <v>Rep C</v>
      </c>
      <c r="D222" t="str">
        <f t="shared" ca="1" si="25"/>
        <v>Product H</v>
      </c>
      <c r="E222">
        <f t="shared" ca="1" si="26"/>
        <v>13</v>
      </c>
      <c r="F222" s="2">
        <f t="shared" ca="1" si="27"/>
        <v>27.34</v>
      </c>
      <c r="G222" s="2">
        <f t="shared" ca="1" si="21"/>
        <v>355.42</v>
      </c>
    </row>
    <row r="223" spans="1:7" x14ac:dyDescent="0.25">
      <c r="A223" s="1">
        <f t="shared" ca="1" si="28"/>
        <v>45507</v>
      </c>
      <c r="B223" t="str">
        <f t="shared" ca="1" si="23"/>
        <v>Store A</v>
      </c>
      <c r="C223" t="str">
        <f t="shared" ca="1" si="24"/>
        <v>Rep F</v>
      </c>
      <c r="D223" t="str">
        <f t="shared" ca="1" si="25"/>
        <v>Product J</v>
      </c>
      <c r="E223">
        <f t="shared" ca="1" si="26"/>
        <v>16</v>
      </c>
      <c r="F223" s="2">
        <f t="shared" ca="1" si="27"/>
        <v>20.46</v>
      </c>
      <c r="G223" s="2">
        <f t="shared" ca="1" si="21"/>
        <v>327.36</v>
      </c>
    </row>
    <row r="224" spans="1:7" x14ac:dyDescent="0.25">
      <c r="A224" s="1">
        <f t="shared" ca="1" si="28"/>
        <v>45429</v>
      </c>
      <c r="B224" t="str">
        <f t="shared" ca="1" si="23"/>
        <v>Store H</v>
      </c>
      <c r="C224" t="str">
        <f t="shared" ca="1" si="24"/>
        <v>Rep I</v>
      </c>
      <c r="D224" t="str">
        <f t="shared" ca="1" si="25"/>
        <v>Product F</v>
      </c>
      <c r="E224">
        <f t="shared" ca="1" si="26"/>
        <v>11</v>
      </c>
      <c r="F224" s="2">
        <f t="shared" ca="1" si="27"/>
        <v>27.1</v>
      </c>
      <c r="G224" s="2">
        <f t="shared" ca="1" si="21"/>
        <v>298.10000000000002</v>
      </c>
    </row>
    <row r="225" spans="1:7" x14ac:dyDescent="0.25">
      <c r="A225" s="1">
        <f t="shared" ca="1" si="28"/>
        <v>45355</v>
      </c>
      <c r="B225" t="str">
        <f t="shared" ca="1" si="23"/>
        <v>Store I</v>
      </c>
      <c r="C225" t="str">
        <f t="shared" ca="1" si="24"/>
        <v>Rep H</v>
      </c>
      <c r="D225" t="str">
        <f t="shared" ca="1" si="25"/>
        <v>Product F</v>
      </c>
      <c r="E225">
        <f t="shared" ca="1" si="26"/>
        <v>49</v>
      </c>
      <c r="F225" s="2">
        <f t="shared" ca="1" si="27"/>
        <v>14.47</v>
      </c>
      <c r="G225" s="2">
        <f t="shared" ca="1" si="21"/>
        <v>709.03000000000009</v>
      </c>
    </row>
    <row r="226" spans="1:7" x14ac:dyDescent="0.25">
      <c r="A226" s="1">
        <f t="shared" ca="1" si="28"/>
        <v>45463</v>
      </c>
      <c r="B226" t="str">
        <f t="shared" ca="1" si="23"/>
        <v>Store G</v>
      </c>
      <c r="C226" t="str">
        <f t="shared" ca="1" si="24"/>
        <v>Rep D</v>
      </c>
      <c r="D226" t="str">
        <f t="shared" ca="1" si="25"/>
        <v>Product B</v>
      </c>
      <c r="E226">
        <f t="shared" ca="1" si="26"/>
        <v>49</v>
      </c>
      <c r="F226" s="2">
        <f t="shared" ca="1" si="27"/>
        <v>7.69</v>
      </c>
      <c r="G226" s="2">
        <f t="shared" ca="1" si="21"/>
        <v>376.81</v>
      </c>
    </row>
    <row r="227" spans="1:7" x14ac:dyDescent="0.25">
      <c r="A227" s="1">
        <f t="shared" ca="1" si="28"/>
        <v>45380</v>
      </c>
      <c r="B227" t="str">
        <f t="shared" ca="1" si="23"/>
        <v>Store E</v>
      </c>
      <c r="C227" t="str">
        <f t="shared" ca="1" si="24"/>
        <v>Rep I</v>
      </c>
      <c r="D227" t="str">
        <f t="shared" ca="1" si="25"/>
        <v>Product E</v>
      </c>
      <c r="E227">
        <f t="shared" ca="1" si="26"/>
        <v>44</v>
      </c>
      <c r="F227" s="2">
        <f t="shared" ca="1" si="27"/>
        <v>2.2799999999999998</v>
      </c>
      <c r="G227" s="2">
        <f t="shared" ca="1" si="21"/>
        <v>100.32</v>
      </c>
    </row>
    <row r="228" spans="1:7" x14ac:dyDescent="0.25">
      <c r="A228" s="1">
        <f t="shared" ca="1" si="28"/>
        <v>45402</v>
      </c>
      <c r="B228" t="str">
        <f t="shared" ca="1" si="23"/>
        <v>Store A</v>
      </c>
      <c r="C228" t="str">
        <f t="shared" ca="1" si="24"/>
        <v>Rep G</v>
      </c>
      <c r="D228" t="str">
        <f t="shared" ca="1" si="25"/>
        <v>Product H</v>
      </c>
      <c r="E228">
        <f t="shared" ca="1" si="26"/>
        <v>9</v>
      </c>
      <c r="F228" s="2">
        <f t="shared" ca="1" si="27"/>
        <v>4.1399999999999997</v>
      </c>
      <c r="G228" s="2">
        <f t="shared" ca="1" si="21"/>
        <v>37.26</v>
      </c>
    </row>
    <row r="229" spans="1:7" x14ac:dyDescent="0.25">
      <c r="A229" s="1">
        <f t="shared" ca="1" si="28"/>
        <v>45532</v>
      </c>
      <c r="B229" t="str">
        <f t="shared" ca="1" si="23"/>
        <v>Store E</v>
      </c>
      <c r="C229" t="str">
        <f t="shared" ca="1" si="24"/>
        <v>Rep B</v>
      </c>
      <c r="D229" t="str">
        <f t="shared" ca="1" si="25"/>
        <v>Product J</v>
      </c>
      <c r="E229">
        <f t="shared" ca="1" si="26"/>
        <v>19</v>
      </c>
      <c r="F229" s="2">
        <f t="shared" ca="1" si="27"/>
        <v>15.08</v>
      </c>
      <c r="G229" s="2">
        <f t="shared" ca="1" si="21"/>
        <v>286.52</v>
      </c>
    </row>
    <row r="230" spans="1:7" x14ac:dyDescent="0.25">
      <c r="A230" s="1">
        <f t="shared" ca="1" si="28"/>
        <v>45334</v>
      </c>
      <c r="B230" t="str">
        <f t="shared" ca="1" si="23"/>
        <v>Store A</v>
      </c>
      <c r="C230" t="str">
        <f t="shared" ca="1" si="24"/>
        <v>Rep J</v>
      </c>
      <c r="D230" t="str">
        <f t="shared" ca="1" si="25"/>
        <v>Product I</v>
      </c>
      <c r="E230">
        <f t="shared" ca="1" si="26"/>
        <v>16</v>
      </c>
      <c r="F230" s="2">
        <f t="shared" ca="1" si="27"/>
        <v>3.43</v>
      </c>
      <c r="G230" s="2">
        <f t="shared" ca="1" si="21"/>
        <v>54.88</v>
      </c>
    </row>
    <row r="231" spans="1:7" x14ac:dyDescent="0.25">
      <c r="A231" s="1">
        <f t="shared" ca="1" si="28"/>
        <v>45386</v>
      </c>
      <c r="B231" t="str">
        <f t="shared" ca="1" si="23"/>
        <v>Store E</v>
      </c>
      <c r="C231" t="str">
        <f t="shared" ca="1" si="24"/>
        <v>Rep C</v>
      </c>
      <c r="D231" t="str">
        <f t="shared" ca="1" si="25"/>
        <v>Product I</v>
      </c>
      <c r="E231">
        <f t="shared" ca="1" si="26"/>
        <v>41</v>
      </c>
      <c r="F231" s="2">
        <f t="shared" ca="1" si="27"/>
        <v>17.75</v>
      </c>
      <c r="G231" s="2">
        <f t="shared" ca="1" si="21"/>
        <v>727.75</v>
      </c>
    </row>
    <row r="232" spans="1:7" x14ac:dyDescent="0.25">
      <c r="A232" s="1">
        <f t="shared" ca="1" si="28"/>
        <v>45501</v>
      </c>
      <c r="B232" t="str">
        <f t="shared" ca="1" si="23"/>
        <v>Store B</v>
      </c>
      <c r="C232" t="str">
        <f t="shared" ca="1" si="24"/>
        <v>Rep E</v>
      </c>
      <c r="D232" t="str">
        <f t="shared" ca="1" si="25"/>
        <v>Product G</v>
      </c>
      <c r="E232">
        <f t="shared" ca="1" si="26"/>
        <v>45</v>
      </c>
      <c r="F232" s="2">
        <f t="shared" ca="1" si="27"/>
        <v>28.67</v>
      </c>
      <c r="G232" s="2">
        <f t="shared" ca="1" si="21"/>
        <v>1290.1500000000001</v>
      </c>
    </row>
    <row r="233" spans="1:7" x14ac:dyDescent="0.25">
      <c r="A233" s="1">
        <f t="shared" ca="1" si="28"/>
        <v>45640</v>
      </c>
      <c r="B233" t="str">
        <f t="shared" ca="1" si="23"/>
        <v>Store F</v>
      </c>
      <c r="C233" t="str">
        <f t="shared" ca="1" si="24"/>
        <v>Rep G</v>
      </c>
      <c r="D233" t="str">
        <f t="shared" ca="1" si="25"/>
        <v>Product F</v>
      </c>
      <c r="E233">
        <f t="shared" ca="1" si="26"/>
        <v>15</v>
      </c>
      <c r="F233" s="2">
        <f t="shared" ca="1" si="27"/>
        <v>11.4</v>
      </c>
      <c r="G233" s="2">
        <f t="shared" ca="1" si="21"/>
        <v>171</v>
      </c>
    </row>
    <row r="234" spans="1:7" x14ac:dyDescent="0.25">
      <c r="A234" s="1">
        <f t="shared" ca="1" si="28"/>
        <v>45515</v>
      </c>
      <c r="B234" t="str">
        <f t="shared" ca="1" si="23"/>
        <v>Store H</v>
      </c>
      <c r="C234" t="str">
        <f t="shared" ca="1" si="24"/>
        <v>Rep A</v>
      </c>
      <c r="D234" t="str">
        <f t="shared" ca="1" si="25"/>
        <v>Product J</v>
      </c>
      <c r="E234">
        <f t="shared" ca="1" si="26"/>
        <v>47</v>
      </c>
      <c r="F234" s="2">
        <f t="shared" ca="1" si="27"/>
        <v>3.82</v>
      </c>
      <c r="G234" s="2">
        <f t="shared" ca="1" si="21"/>
        <v>179.54</v>
      </c>
    </row>
    <row r="235" spans="1:7" x14ac:dyDescent="0.25">
      <c r="A235" s="1">
        <f t="shared" ca="1" si="28"/>
        <v>45635</v>
      </c>
      <c r="B235" t="str">
        <f t="shared" ca="1" si="23"/>
        <v>Store A</v>
      </c>
      <c r="C235" t="str">
        <f t="shared" ca="1" si="24"/>
        <v>Rep F</v>
      </c>
      <c r="D235" t="str">
        <f t="shared" ca="1" si="25"/>
        <v>Product E</v>
      </c>
      <c r="E235">
        <f t="shared" ca="1" si="26"/>
        <v>17</v>
      </c>
      <c r="F235" s="2">
        <f t="shared" ca="1" si="27"/>
        <v>2.0099999999999998</v>
      </c>
      <c r="G235" s="2">
        <f t="shared" ca="1" si="21"/>
        <v>34.169999999999995</v>
      </c>
    </row>
    <row r="236" spans="1:7" x14ac:dyDescent="0.25">
      <c r="A236" s="1">
        <f t="shared" ca="1" si="28"/>
        <v>45373</v>
      </c>
      <c r="B236" t="str">
        <f t="shared" ca="1" si="23"/>
        <v>Store C</v>
      </c>
      <c r="C236" t="str">
        <f t="shared" ca="1" si="24"/>
        <v>Rep D</v>
      </c>
      <c r="D236" t="str">
        <f t="shared" ca="1" si="25"/>
        <v>Product A</v>
      </c>
      <c r="E236">
        <f t="shared" ca="1" si="26"/>
        <v>39</v>
      </c>
      <c r="F236" s="2">
        <f t="shared" ca="1" si="27"/>
        <v>9.6300000000000008</v>
      </c>
      <c r="G236" s="2">
        <f t="shared" ca="1" si="21"/>
        <v>375.57000000000005</v>
      </c>
    </row>
    <row r="237" spans="1:7" x14ac:dyDescent="0.25">
      <c r="A237" s="1">
        <f t="shared" ca="1" si="28"/>
        <v>45471</v>
      </c>
      <c r="B237" t="str">
        <f t="shared" ca="1" si="23"/>
        <v>Store E</v>
      </c>
      <c r="C237" t="str">
        <f t="shared" ca="1" si="24"/>
        <v>Rep F</v>
      </c>
      <c r="D237" t="str">
        <f t="shared" ca="1" si="25"/>
        <v>Product D</v>
      </c>
      <c r="E237">
        <f t="shared" ca="1" si="26"/>
        <v>38</v>
      </c>
      <c r="F237" s="2">
        <f t="shared" ca="1" si="27"/>
        <v>5.36</v>
      </c>
      <c r="G237" s="2">
        <f t="shared" ca="1" si="21"/>
        <v>203.68</v>
      </c>
    </row>
    <row r="238" spans="1:7" x14ac:dyDescent="0.25">
      <c r="A238" s="1">
        <f t="shared" ca="1" si="28"/>
        <v>45509</v>
      </c>
      <c r="B238" t="str">
        <f t="shared" ca="1" si="23"/>
        <v>Store G</v>
      </c>
      <c r="C238" t="str">
        <f t="shared" ca="1" si="24"/>
        <v>Rep D</v>
      </c>
      <c r="D238" t="str">
        <f t="shared" ca="1" si="25"/>
        <v>Product D</v>
      </c>
      <c r="E238">
        <f t="shared" ca="1" si="26"/>
        <v>43</v>
      </c>
      <c r="F238" s="2">
        <f t="shared" ca="1" si="27"/>
        <v>18.989999999999998</v>
      </c>
      <c r="G238" s="2">
        <f t="shared" ca="1" si="21"/>
        <v>816.56999999999994</v>
      </c>
    </row>
    <row r="239" spans="1:7" x14ac:dyDescent="0.25">
      <c r="A239" s="1">
        <f t="shared" ca="1" si="28"/>
        <v>45636</v>
      </c>
      <c r="B239" t="str">
        <f t="shared" ca="1" si="23"/>
        <v>Store I</v>
      </c>
      <c r="C239" t="str">
        <f t="shared" ca="1" si="24"/>
        <v>Rep I</v>
      </c>
      <c r="D239" t="str">
        <f t="shared" ca="1" si="25"/>
        <v>Product G</v>
      </c>
      <c r="E239">
        <f t="shared" ca="1" si="26"/>
        <v>49</v>
      </c>
      <c r="F239" s="2">
        <f t="shared" ca="1" si="27"/>
        <v>28.59</v>
      </c>
      <c r="G239" s="2">
        <f t="shared" ca="1" si="21"/>
        <v>1400.91</v>
      </c>
    </row>
    <row r="240" spans="1:7" x14ac:dyDescent="0.25">
      <c r="A240" s="1">
        <f t="shared" ca="1" si="28"/>
        <v>45342</v>
      </c>
      <c r="B240" t="str">
        <f t="shared" ca="1" si="23"/>
        <v>Store D</v>
      </c>
      <c r="C240" t="str">
        <f t="shared" ca="1" si="24"/>
        <v>Rep G</v>
      </c>
      <c r="D240" t="str">
        <f t="shared" ca="1" si="25"/>
        <v>Product I</v>
      </c>
      <c r="E240">
        <f t="shared" ca="1" si="26"/>
        <v>32</v>
      </c>
      <c r="F240" s="2">
        <f t="shared" ca="1" si="27"/>
        <v>6</v>
      </c>
      <c r="G240" s="2">
        <f t="shared" ca="1" si="21"/>
        <v>192</v>
      </c>
    </row>
    <row r="241" spans="1:7" x14ac:dyDescent="0.25">
      <c r="A241" s="1">
        <f t="shared" ca="1" si="28"/>
        <v>45432</v>
      </c>
      <c r="B241" t="str">
        <f t="shared" ca="1" si="23"/>
        <v>Store H</v>
      </c>
      <c r="C241" t="str">
        <f t="shared" ca="1" si="24"/>
        <v>Rep C</v>
      </c>
      <c r="D241" t="str">
        <f t="shared" ca="1" si="25"/>
        <v>Product D</v>
      </c>
      <c r="E241">
        <f t="shared" ca="1" si="26"/>
        <v>38</v>
      </c>
      <c r="F241" s="2">
        <f t="shared" ca="1" si="27"/>
        <v>3.04</v>
      </c>
      <c r="G241" s="2">
        <f t="shared" ca="1" si="21"/>
        <v>115.52</v>
      </c>
    </row>
    <row r="242" spans="1:7" x14ac:dyDescent="0.25">
      <c r="A242" s="1">
        <f t="shared" ca="1" si="28"/>
        <v>45349</v>
      </c>
      <c r="B242" t="str">
        <f t="shared" ca="1" si="23"/>
        <v>Store C</v>
      </c>
      <c r="C242" t="str">
        <f t="shared" ca="1" si="24"/>
        <v>Rep H</v>
      </c>
      <c r="D242" t="str">
        <f t="shared" ca="1" si="25"/>
        <v>Product I</v>
      </c>
      <c r="E242">
        <f t="shared" ca="1" si="26"/>
        <v>36</v>
      </c>
      <c r="F242" s="2">
        <f t="shared" ca="1" si="27"/>
        <v>24.4</v>
      </c>
      <c r="G242" s="2">
        <f t="shared" ca="1" si="21"/>
        <v>878.4</v>
      </c>
    </row>
    <row r="243" spans="1:7" x14ac:dyDescent="0.25">
      <c r="A243" s="1">
        <f t="shared" ca="1" si="28"/>
        <v>45579</v>
      </c>
      <c r="B243" t="str">
        <f t="shared" ca="1" si="23"/>
        <v>Store A</v>
      </c>
      <c r="C243" t="str">
        <f t="shared" ca="1" si="24"/>
        <v>Rep H</v>
      </c>
      <c r="D243" t="str">
        <f t="shared" ca="1" si="25"/>
        <v>Product E</v>
      </c>
      <c r="E243">
        <f t="shared" ca="1" si="26"/>
        <v>29</v>
      </c>
      <c r="F243" s="2">
        <f t="shared" ca="1" si="27"/>
        <v>2.41</v>
      </c>
      <c r="G243" s="2">
        <f t="shared" ca="1" si="21"/>
        <v>69.89</v>
      </c>
    </row>
    <row r="244" spans="1:7" x14ac:dyDescent="0.25">
      <c r="A244" s="1">
        <f t="shared" ca="1" si="28"/>
        <v>45588</v>
      </c>
      <c r="B244" t="str">
        <f t="shared" ca="1" si="23"/>
        <v>Store H</v>
      </c>
      <c r="C244" t="str">
        <f t="shared" ca="1" si="24"/>
        <v>Rep C</v>
      </c>
      <c r="D244" t="str">
        <f t="shared" ca="1" si="25"/>
        <v>Product D</v>
      </c>
      <c r="E244">
        <f t="shared" ca="1" si="26"/>
        <v>25</v>
      </c>
      <c r="F244" s="2">
        <f t="shared" ca="1" si="27"/>
        <v>21.44</v>
      </c>
      <c r="G244" s="2">
        <f t="shared" ca="1" si="21"/>
        <v>536</v>
      </c>
    </row>
    <row r="245" spans="1:7" x14ac:dyDescent="0.25">
      <c r="A245" s="1">
        <f t="shared" ca="1" si="28"/>
        <v>45608</v>
      </c>
      <c r="B245" t="str">
        <f t="shared" ca="1" si="23"/>
        <v>Store J</v>
      </c>
      <c r="C245" t="str">
        <f t="shared" ca="1" si="24"/>
        <v>Rep B</v>
      </c>
      <c r="D245" t="str">
        <f t="shared" ca="1" si="25"/>
        <v>Product G</v>
      </c>
      <c r="E245">
        <f t="shared" ca="1" si="26"/>
        <v>29</v>
      </c>
      <c r="F245" s="2">
        <f t="shared" ca="1" si="27"/>
        <v>10.23</v>
      </c>
      <c r="G245" s="2">
        <f t="shared" ca="1" si="21"/>
        <v>296.67</v>
      </c>
    </row>
    <row r="246" spans="1:7" x14ac:dyDescent="0.25">
      <c r="A246" s="1">
        <f t="shared" ca="1" si="28"/>
        <v>45565</v>
      </c>
      <c r="B246" t="str">
        <f t="shared" ca="1" si="23"/>
        <v>Store E</v>
      </c>
      <c r="C246" t="str">
        <f t="shared" ca="1" si="24"/>
        <v>Rep H</v>
      </c>
      <c r="D246" t="str">
        <f t="shared" ca="1" si="25"/>
        <v>Product E</v>
      </c>
      <c r="E246">
        <f t="shared" ca="1" si="26"/>
        <v>17</v>
      </c>
      <c r="F246" s="2">
        <f t="shared" ca="1" si="27"/>
        <v>2.54</v>
      </c>
      <c r="G246" s="2">
        <f t="shared" ca="1" si="21"/>
        <v>43.18</v>
      </c>
    </row>
    <row r="247" spans="1:7" x14ac:dyDescent="0.25">
      <c r="A247" s="1">
        <f t="shared" ca="1" si="28"/>
        <v>45338</v>
      </c>
      <c r="B247" t="str">
        <f t="shared" ca="1" si="23"/>
        <v>Store A</v>
      </c>
      <c r="C247" t="str">
        <f t="shared" ca="1" si="24"/>
        <v>Rep A</v>
      </c>
      <c r="D247" t="str">
        <f t="shared" ca="1" si="25"/>
        <v>Product E</v>
      </c>
      <c r="E247">
        <f t="shared" ca="1" si="26"/>
        <v>13</v>
      </c>
      <c r="F247" s="2">
        <f t="shared" ca="1" si="27"/>
        <v>25.82</v>
      </c>
      <c r="G247" s="2">
        <f t="shared" ca="1" si="21"/>
        <v>335.66</v>
      </c>
    </row>
    <row r="248" spans="1:7" x14ac:dyDescent="0.25">
      <c r="A248" s="1">
        <f t="shared" ca="1" si="28"/>
        <v>45297</v>
      </c>
      <c r="B248" t="str">
        <f t="shared" ca="1" si="23"/>
        <v>Store J</v>
      </c>
      <c r="C248" t="str">
        <f t="shared" ca="1" si="24"/>
        <v>Rep F</v>
      </c>
      <c r="D248" t="str">
        <f t="shared" ca="1" si="25"/>
        <v>Product D</v>
      </c>
      <c r="E248">
        <f t="shared" ca="1" si="26"/>
        <v>48</v>
      </c>
      <c r="F248" s="2">
        <f t="shared" ca="1" si="27"/>
        <v>15.18</v>
      </c>
      <c r="G248" s="2">
        <f t="shared" ca="1" si="21"/>
        <v>728.64</v>
      </c>
    </row>
    <row r="249" spans="1:7" x14ac:dyDescent="0.25">
      <c r="A249" s="1">
        <f t="shared" ca="1" si="28"/>
        <v>45574</v>
      </c>
      <c r="B249" t="str">
        <f t="shared" ca="1" si="23"/>
        <v>Store F</v>
      </c>
      <c r="C249" t="str">
        <f t="shared" ca="1" si="24"/>
        <v>Rep H</v>
      </c>
      <c r="D249" t="str">
        <f t="shared" ca="1" si="25"/>
        <v>Product J</v>
      </c>
      <c r="E249">
        <f t="shared" ca="1" si="26"/>
        <v>4</v>
      </c>
      <c r="F249" s="2">
        <f t="shared" ca="1" si="27"/>
        <v>21.43</v>
      </c>
      <c r="G249" s="2">
        <f t="shared" ca="1" si="21"/>
        <v>85.72</v>
      </c>
    </row>
    <row r="250" spans="1:7" x14ac:dyDescent="0.25">
      <c r="A250" s="1">
        <f t="shared" ca="1" si="28"/>
        <v>45629</v>
      </c>
      <c r="B250" t="str">
        <f t="shared" ca="1" si="23"/>
        <v>Store G</v>
      </c>
      <c r="C250" t="str">
        <f t="shared" ca="1" si="24"/>
        <v>Rep C</v>
      </c>
      <c r="D250" t="str">
        <f t="shared" ca="1" si="25"/>
        <v>Product I</v>
      </c>
      <c r="E250">
        <f t="shared" ca="1" si="26"/>
        <v>32</v>
      </c>
      <c r="F250" s="2">
        <f t="shared" ca="1" si="27"/>
        <v>14.27</v>
      </c>
      <c r="G250" s="2">
        <f t="shared" ca="1" si="21"/>
        <v>456.64</v>
      </c>
    </row>
    <row r="251" spans="1:7" x14ac:dyDescent="0.25">
      <c r="A251" s="1">
        <f t="shared" ca="1" si="28"/>
        <v>45347</v>
      </c>
      <c r="B251" t="str">
        <f t="shared" ca="1" si="23"/>
        <v>Store E</v>
      </c>
      <c r="C251" t="str">
        <f t="shared" ca="1" si="24"/>
        <v>Rep G</v>
      </c>
      <c r="D251" t="str">
        <f t="shared" ca="1" si="25"/>
        <v>Product D</v>
      </c>
      <c r="E251">
        <f t="shared" ca="1" si="26"/>
        <v>11</v>
      </c>
      <c r="F251" s="2">
        <f t="shared" ca="1" si="27"/>
        <v>8.16</v>
      </c>
      <c r="G251" s="2">
        <f t="shared" ca="1" si="21"/>
        <v>89.76</v>
      </c>
    </row>
    <row r="252" spans="1:7" x14ac:dyDescent="0.25">
      <c r="A252" s="1">
        <f t="shared" ca="1" si="28"/>
        <v>45439</v>
      </c>
      <c r="B252" t="str">
        <f t="shared" ca="1" si="23"/>
        <v>Store H</v>
      </c>
      <c r="C252" t="str">
        <f t="shared" ca="1" si="24"/>
        <v>Rep F</v>
      </c>
      <c r="D252" t="str">
        <f t="shared" ca="1" si="25"/>
        <v>Product F</v>
      </c>
      <c r="E252">
        <f t="shared" ca="1" si="26"/>
        <v>24</v>
      </c>
      <c r="F252" s="2">
        <f t="shared" ca="1" si="27"/>
        <v>7.15</v>
      </c>
      <c r="G252" s="2">
        <f t="shared" ca="1" si="21"/>
        <v>171.60000000000002</v>
      </c>
    </row>
    <row r="253" spans="1:7" x14ac:dyDescent="0.25">
      <c r="A253" s="1">
        <f t="shared" ca="1" si="28"/>
        <v>45474</v>
      </c>
      <c r="B253" t="str">
        <f t="shared" ca="1" si="23"/>
        <v>Store G</v>
      </c>
      <c r="C253" t="str">
        <f t="shared" ca="1" si="24"/>
        <v>Rep I</v>
      </c>
      <c r="D253" t="str">
        <f t="shared" ca="1" si="25"/>
        <v>Product B</v>
      </c>
      <c r="E253">
        <f t="shared" ca="1" si="26"/>
        <v>49</v>
      </c>
      <c r="F253" s="2">
        <f t="shared" ca="1" si="27"/>
        <v>18.440000000000001</v>
      </c>
      <c r="G253" s="2">
        <f t="shared" ca="1" si="21"/>
        <v>903.56000000000006</v>
      </c>
    </row>
    <row r="254" spans="1:7" x14ac:dyDescent="0.25">
      <c r="A254" s="1">
        <f t="shared" ca="1" si="28"/>
        <v>45505</v>
      </c>
      <c r="B254" t="str">
        <f t="shared" ca="1" si="23"/>
        <v>Store G</v>
      </c>
      <c r="C254" t="str">
        <f t="shared" ca="1" si="24"/>
        <v>Rep I</v>
      </c>
      <c r="D254" t="str">
        <f t="shared" ca="1" si="25"/>
        <v>Product A</v>
      </c>
      <c r="E254">
        <f t="shared" ca="1" si="26"/>
        <v>9</v>
      </c>
      <c r="F254" s="2">
        <f t="shared" ca="1" si="27"/>
        <v>22.33</v>
      </c>
      <c r="G254" s="2">
        <f t="shared" ca="1" si="21"/>
        <v>200.96999999999997</v>
      </c>
    </row>
    <row r="255" spans="1:7" x14ac:dyDescent="0.25">
      <c r="A255" s="1">
        <f t="shared" ca="1" si="28"/>
        <v>45350</v>
      </c>
      <c r="B255" t="str">
        <f t="shared" ca="1" si="23"/>
        <v>Store F</v>
      </c>
      <c r="C255" t="str">
        <f t="shared" ca="1" si="24"/>
        <v>Rep G</v>
      </c>
      <c r="D255" t="str">
        <f t="shared" ca="1" si="25"/>
        <v>Product B</v>
      </c>
      <c r="E255">
        <f t="shared" ca="1" si="26"/>
        <v>15</v>
      </c>
      <c r="F255" s="2">
        <f t="shared" ca="1" si="27"/>
        <v>18.41</v>
      </c>
      <c r="G255" s="2">
        <f t="shared" ca="1" si="21"/>
        <v>276.14999999999998</v>
      </c>
    </row>
    <row r="256" spans="1:7" x14ac:dyDescent="0.25">
      <c r="A256" s="1">
        <f t="shared" ca="1" si="28"/>
        <v>45540</v>
      </c>
      <c r="B256" t="str">
        <f t="shared" ca="1" si="23"/>
        <v>Store C</v>
      </c>
      <c r="C256" t="str">
        <f t="shared" ca="1" si="24"/>
        <v>Rep A</v>
      </c>
      <c r="D256" t="str">
        <f t="shared" ca="1" si="25"/>
        <v>Product I</v>
      </c>
      <c r="E256">
        <f t="shared" ca="1" si="26"/>
        <v>2</v>
      </c>
      <c r="F256" s="2">
        <f t="shared" ca="1" si="27"/>
        <v>5.19</v>
      </c>
      <c r="G256" s="2">
        <f t="shared" ca="1" si="21"/>
        <v>10.38</v>
      </c>
    </row>
    <row r="257" spans="1:7" x14ac:dyDescent="0.25">
      <c r="A257" s="1">
        <f t="shared" ca="1" si="28"/>
        <v>45323</v>
      </c>
      <c r="B257" t="str">
        <f t="shared" ca="1" si="23"/>
        <v>Store C</v>
      </c>
      <c r="C257" t="str">
        <f t="shared" ca="1" si="24"/>
        <v>Rep F</v>
      </c>
      <c r="D257" t="str">
        <f t="shared" ca="1" si="25"/>
        <v>Product J</v>
      </c>
      <c r="E257">
        <f t="shared" ca="1" si="26"/>
        <v>45</v>
      </c>
      <c r="F257" s="2">
        <f t="shared" ca="1" si="27"/>
        <v>16.46</v>
      </c>
      <c r="G257" s="2">
        <f t="shared" ca="1" si="21"/>
        <v>740.7</v>
      </c>
    </row>
    <row r="258" spans="1:7" x14ac:dyDescent="0.25">
      <c r="A258" s="1">
        <f t="shared" ca="1" si="28"/>
        <v>45424</v>
      </c>
      <c r="B258" t="str">
        <f t="shared" ca="1" si="23"/>
        <v>Store F</v>
      </c>
      <c r="C258" t="str">
        <f t="shared" ca="1" si="24"/>
        <v>Rep F</v>
      </c>
      <c r="D258" t="str">
        <f t="shared" ca="1" si="25"/>
        <v>Product I</v>
      </c>
      <c r="E258">
        <f t="shared" ca="1" si="26"/>
        <v>47</v>
      </c>
      <c r="F258" s="2">
        <f t="shared" ca="1" si="27"/>
        <v>15.52</v>
      </c>
      <c r="G258" s="2">
        <f t="shared" ref="G258:G321" ca="1" si="29">E258*F258</f>
        <v>729.43999999999994</v>
      </c>
    </row>
    <row r="259" spans="1:7" x14ac:dyDescent="0.25">
      <c r="A259" s="1">
        <f t="shared" ca="1" si="28"/>
        <v>45579</v>
      </c>
      <c r="B259" t="str">
        <f t="shared" ref="B259:B322" ca="1" si="30">CHOOSE(RANDBETWEEN(1,10),"Store A","Store B","Store C","Store D","Store E","Store F","Store G","Store H","Store I","Store J")</f>
        <v>Store B</v>
      </c>
      <c r="C259" t="str">
        <f t="shared" ref="C259:C322" ca="1" si="31">CHOOSE(RANDBETWEEN(1,10),"Rep A","Rep B","Rep C","Rep D","Rep E","Rep F","Rep G","Rep H","Rep I","Rep J")</f>
        <v>Rep I</v>
      </c>
      <c r="D259" t="str">
        <f t="shared" ref="D259:D322" ca="1" si="32">CHOOSE(RANDBETWEEN(1,10),"Product A","Product B","Product C","Product D","Product E","Product F","Product G","Product H","Product I","Product J")</f>
        <v>Product A</v>
      </c>
      <c r="E259">
        <f t="shared" ref="E259:E322" ca="1" si="33">RANDBETWEEN(1,50)</f>
        <v>32</v>
      </c>
      <c r="F259" s="2">
        <f t="shared" ref="F259:F322" ca="1" si="34">ROUND(2+28*RAND(),2)</f>
        <v>24.09</v>
      </c>
      <c r="G259" s="2">
        <f t="shared" ca="1" si="29"/>
        <v>770.88</v>
      </c>
    </row>
    <row r="260" spans="1:7" x14ac:dyDescent="0.25">
      <c r="A260" s="1">
        <f t="shared" ca="1" si="28"/>
        <v>45639</v>
      </c>
      <c r="B260" t="str">
        <f t="shared" ca="1" si="30"/>
        <v>Store C</v>
      </c>
      <c r="C260" t="str">
        <f t="shared" ca="1" si="31"/>
        <v>Rep I</v>
      </c>
      <c r="D260" t="str">
        <f t="shared" ca="1" si="32"/>
        <v>Product E</v>
      </c>
      <c r="E260">
        <f t="shared" ca="1" si="33"/>
        <v>24</v>
      </c>
      <c r="F260" s="2">
        <f t="shared" ca="1" si="34"/>
        <v>7.93</v>
      </c>
      <c r="G260" s="2">
        <f t="shared" ca="1" si="29"/>
        <v>190.32</v>
      </c>
    </row>
    <row r="261" spans="1:7" x14ac:dyDescent="0.25">
      <c r="A261" s="1">
        <f t="shared" ca="1" si="28"/>
        <v>45407</v>
      </c>
      <c r="B261" t="str">
        <f t="shared" ca="1" si="30"/>
        <v>Store I</v>
      </c>
      <c r="C261" t="str">
        <f t="shared" ca="1" si="31"/>
        <v>Rep E</v>
      </c>
      <c r="D261" t="str">
        <f t="shared" ca="1" si="32"/>
        <v>Product G</v>
      </c>
      <c r="E261">
        <f t="shared" ca="1" si="33"/>
        <v>1</v>
      </c>
      <c r="F261" s="2">
        <f t="shared" ca="1" si="34"/>
        <v>23.68</v>
      </c>
      <c r="G261" s="2">
        <f t="shared" ca="1" si="29"/>
        <v>23.68</v>
      </c>
    </row>
    <row r="262" spans="1:7" x14ac:dyDescent="0.25">
      <c r="A262" s="1">
        <f t="shared" ca="1" si="28"/>
        <v>45584</v>
      </c>
      <c r="B262" t="str">
        <f t="shared" ca="1" si="30"/>
        <v>Store F</v>
      </c>
      <c r="C262" t="str">
        <f t="shared" ca="1" si="31"/>
        <v>Rep I</v>
      </c>
      <c r="D262" t="str">
        <f t="shared" ca="1" si="32"/>
        <v>Product B</v>
      </c>
      <c r="E262">
        <f t="shared" ca="1" si="33"/>
        <v>27</v>
      </c>
      <c r="F262" s="2">
        <f t="shared" ca="1" si="34"/>
        <v>21.66</v>
      </c>
      <c r="G262" s="2">
        <f t="shared" ca="1" si="29"/>
        <v>584.82000000000005</v>
      </c>
    </row>
    <row r="263" spans="1:7" x14ac:dyDescent="0.25">
      <c r="A263" s="1">
        <f t="shared" ca="1" si="28"/>
        <v>45330</v>
      </c>
      <c r="B263" t="str">
        <f t="shared" ca="1" si="30"/>
        <v>Store G</v>
      </c>
      <c r="C263" t="str">
        <f t="shared" ca="1" si="31"/>
        <v>Rep J</v>
      </c>
      <c r="D263" t="str">
        <f t="shared" ca="1" si="32"/>
        <v>Product G</v>
      </c>
      <c r="E263">
        <f t="shared" ca="1" si="33"/>
        <v>12</v>
      </c>
      <c r="F263" s="2">
        <f t="shared" ca="1" si="34"/>
        <v>13.42</v>
      </c>
      <c r="G263" s="2">
        <f t="shared" ca="1" si="29"/>
        <v>161.04</v>
      </c>
    </row>
    <row r="264" spans="1:7" x14ac:dyDescent="0.25">
      <c r="A264" s="1">
        <f t="shared" ca="1" si="28"/>
        <v>45641</v>
      </c>
      <c r="B264" t="str">
        <f t="shared" ca="1" si="30"/>
        <v>Store A</v>
      </c>
      <c r="C264" t="str">
        <f t="shared" ca="1" si="31"/>
        <v>Rep C</v>
      </c>
      <c r="D264" t="str">
        <f t="shared" ca="1" si="32"/>
        <v>Product A</v>
      </c>
      <c r="E264">
        <f t="shared" ca="1" si="33"/>
        <v>25</v>
      </c>
      <c r="F264" s="2">
        <f t="shared" ca="1" si="34"/>
        <v>17.079999999999998</v>
      </c>
      <c r="G264" s="2">
        <f t="shared" ca="1" si="29"/>
        <v>426.99999999999994</v>
      </c>
    </row>
    <row r="265" spans="1:7" x14ac:dyDescent="0.25">
      <c r="A265" s="1">
        <f t="shared" ca="1" si="28"/>
        <v>45581</v>
      </c>
      <c r="B265" t="str">
        <f t="shared" ca="1" si="30"/>
        <v>Store G</v>
      </c>
      <c r="C265" t="str">
        <f t="shared" ca="1" si="31"/>
        <v>Rep D</v>
      </c>
      <c r="D265" t="str">
        <f t="shared" ca="1" si="32"/>
        <v>Product I</v>
      </c>
      <c r="E265">
        <f t="shared" ca="1" si="33"/>
        <v>26</v>
      </c>
      <c r="F265" s="2">
        <f t="shared" ca="1" si="34"/>
        <v>9.74</v>
      </c>
      <c r="G265" s="2">
        <f t="shared" ca="1" si="29"/>
        <v>253.24</v>
      </c>
    </row>
    <row r="266" spans="1:7" x14ac:dyDescent="0.25">
      <c r="A266" s="1">
        <f t="shared" ca="1" si="28"/>
        <v>45327</v>
      </c>
      <c r="B266" t="str">
        <f t="shared" ca="1" si="30"/>
        <v>Store E</v>
      </c>
      <c r="C266" t="str">
        <f t="shared" ca="1" si="31"/>
        <v>Rep H</v>
      </c>
      <c r="D266" t="str">
        <f t="shared" ca="1" si="32"/>
        <v>Product B</v>
      </c>
      <c r="E266">
        <f t="shared" ca="1" si="33"/>
        <v>3</v>
      </c>
      <c r="F266" s="2">
        <f t="shared" ca="1" si="34"/>
        <v>12.42</v>
      </c>
      <c r="G266" s="2">
        <f t="shared" ca="1" si="29"/>
        <v>37.26</v>
      </c>
    </row>
    <row r="267" spans="1:7" x14ac:dyDescent="0.25">
      <c r="A267" s="1">
        <f t="shared" ca="1" si="28"/>
        <v>45452</v>
      </c>
      <c r="B267" t="str">
        <f t="shared" ca="1" si="30"/>
        <v>Store B</v>
      </c>
      <c r="C267" t="str">
        <f t="shared" ca="1" si="31"/>
        <v>Rep F</v>
      </c>
      <c r="D267" t="str">
        <f t="shared" ca="1" si="32"/>
        <v>Product F</v>
      </c>
      <c r="E267">
        <f t="shared" ca="1" si="33"/>
        <v>31</v>
      </c>
      <c r="F267" s="2">
        <f t="shared" ca="1" si="34"/>
        <v>23.24</v>
      </c>
      <c r="G267" s="2">
        <f t="shared" ca="1" si="29"/>
        <v>720.43999999999994</v>
      </c>
    </row>
    <row r="268" spans="1:7" x14ac:dyDescent="0.25">
      <c r="A268" s="1">
        <f t="shared" ca="1" si="28"/>
        <v>45570</v>
      </c>
      <c r="B268" t="str">
        <f t="shared" ca="1" si="30"/>
        <v>Store B</v>
      </c>
      <c r="C268" t="str">
        <f t="shared" ca="1" si="31"/>
        <v>Rep C</v>
      </c>
      <c r="D268" t="str">
        <f t="shared" ca="1" si="32"/>
        <v>Product C</v>
      </c>
      <c r="E268">
        <f t="shared" ca="1" si="33"/>
        <v>42</v>
      </c>
      <c r="F268" s="2">
        <f t="shared" ca="1" si="34"/>
        <v>3.92</v>
      </c>
      <c r="G268" s="2">
        <f t="shared" ca="1" si="29"/>
        <v>164.64</v>
      </c>
    </row>
    <row r="269" spans="1:7" x14ac:dyDescent="0.25">
      <c r="A269" s="1">
        <f t="shared" ca="1" si="28"/>
        <v>45568</v>
      </c>
      <c r="B269" t="str">
        <f t="shared" ca="1" si="30"/>
        <v>Store I</v>
      </c>
      <c r="C269" t="str">
        <f t="shared" ca="1" si="31"/>
        <v>Rep H</v>
      </c>
      <c r="D269" t="str">
        <f t="shared" ca="1" si="32"/>
        <v>Product F</v>
      </c>
      <c r="E269">
        <f t="shared" ca="1" si="33"/>
        <v>1</v>
      </c>
      <c r="F269" s="2">
        <f t="shared" ca="1" si="34"/>
        <v>23.26</v>
      </c>
      <c r="G269" s="2">
        <f t="shared" ca="1" si="29"/>
        <v>23.26</v>
      </c>
    </row>
    <row r="270" spans="1:7" x14ac:dyDescent="0.25">
      <c r="A270" s="1">
        <f t="shared" ca="1" si="28"/>
        <v>45303</v>
      </c>
      <c r="B270" t="str">
        <f t="shared" ca="1" si="30"/>
        <v>Store H</v>
      </c>
      <c r="C270" t="str">
        <f t="shared" ca="1" si="31"/>
        <v>Rep H</v>
      </c>
      <c r="D270" t="str">
        <f t="shared" ca="1" si="32"/>
        <v>Product A</v>
      </c>
      <c r="E270">
        <f t="shared" ca="1" si="33"/>
        <v>28</v>
      </c>
      <c r="F270" s="2">
        <f t="shared" ca="1" si="34"/>
        <v>8.6199999999999992</v>
      </c>
      <c r="G270" s="2">
        <f t="shared" ca="1" si="29"/>
        <v>241.35999999999999</v>
      </c>
    </row>
    <row r="271" spans="1:7" x14ac:dyDescent="0.25">
      <c r="A271" s="1">
        <f t="shared" ca="1" si="28"/>
        <v>45349</v>
      </c>
      <c r="B271" t="str">
        <f t="shared" ca="1" si="30"/>
        <v>Store G</v>
      </c>
      <c r="C271" t="str">
        <f t="shared" ca="1" si="31"/>
        <v>Rep D</v>
      </c>
      <c r="D271" t="str">
        <f t="shared" ca="1" si="32"/>
        <v>Product F</v>
      </c>
      <c r="E271">
        <f t="shared" ca="1" si="33"/>
        <v>1</v>
      </c>
      <c r="F271" s="2">
        <f t="shared" ca="1" si="34"/>
        <v>12.72</v>
      </c>
      <c r="G271" s="2">
        <f t="shared" ca="1" si="29"/>
        <v>12.72</v>
      </c>
    </row>
    <row r="272" spans="1:7" x14ac:dyDescent="0.25">
      <c r="A272" s="1">
        <f t="shared" ca="1" si="28"/>
        <v>45527</v>
      </c>
      <c r="B272" t="str">
        <f t="shared" ca="1" si="30"/>
        <v>Store A</v>
      </c>
      <c r="C272" t="str">
        <f t="shared" ca="1" si="31"/>
        <v>Rep J</v>
      </c>
      <c r="D272" t="str">
        <f t="shared" ca="1" si="32"/>
        <v>Product F</v>
      </c>
      <c r="E272">
        <f t="shared" ca="1" si="33"/>
        <v>3</v>
      </c>
      <c r="F272" s="2">
        <f t="shared" ca="1" si="34"/>
        <v>3.83</v>
      </c>
      <c r="G272" s="2">
        <f t="shared" ca="1" si="29"/>
        <v>11.49</v>
      </c>
    </row>
    <row r="273" spans="1:7" x14ac:dyDescent="0.25">
      <c r="A273" s="1">
        <f t="shared" ca="1" si="28"/>
        <v>45600</v>
      </c>
      <c r="B273" t="str">
        <f t="shared" ca="1" si="30"/>
        <v>Store G</v>
      </c>
      <c r="C273" t="str">
        <f t="shared" ca="1" si="31"/>
        <v>Rep H</v>
      </c>
      <c r="D273" t="str">
        <f t="shared" ca="1" si="32"/>
        <v>Product F</v>
      </c>
      <c r="E273">
        <f t="shared" ca="1" si="33"/>
        <v>31</v>
      </c>
      <c r="F273" s="2">
        <f t="shared" ca="1" si="34"/>
        <v>16.2</v>
      </c>
      <c r="G273" s="2">
        <f t="shared" ca="1" si="29"/>
        <v>502.2</v>
      </c>
    </row>
    <row r="274" spans="1:7" x14ac:dyDescent="0.25">
      <c r="A274" s="1">
        <f t="shared" ca="1" si="28"/>
        <v>45526</v>
      </c>
      <c r="B274" t="str">
        <f t="shared" ca="1" si="30"/>
        <v>Store F</v>
      </c>
      <c r="C274" t="str">
        <f t="shared" ca="1" si="31"/>
        <v>Rep A</v>
      </c>
      <c r="D274" t="str">
        <f t="shared" ca="1" si="32"/>
        <v>Product B</v>
      </c>
      <c r="E274">
        <f t="shared" ca="1" si="33"/>
        <v>19</v>
      </c>
      <c r="F274" s="2">
        <f t="shared" ca="1" si="34"/>
        <v>10.47</v>
      </c>
      <c r="G274" s="2">
        <f t="shared" ca="1" si="29"/>
        <v>198.93</v>
      </c>
    </row>
    <row r="275" spans="1:7" x14ac:dyDescent="0.25">
      <c r="A275" s="1">
        <f t="shared" ca="1" si="28"/>
        <v>45563</v>
      </c>
      <c r="B275" t="str">
        <f t="shared" ca="1" si="30"/>
        <v>Store H</v>
      </c>
      <c r="C275" t="str">
        <f t="shared" ca="1" si="31"/>
        <v>Rep J</v>
      </c>
      <c r="D275" t="str">
        <f t="shared" ca="1" si="32"/>
        <v>Product E</v>
      </c>
      <c r="E275">
        <f t="shared" ca="1" si="33"/>
        <v>30</v>
      </c>
      <c r="F275" s="2">
        <f t="shared" ca="1" si="34"/>
        <v>19.29</v>
      </c>
      <c r="G275" s="2">
        <f t="shared" ca="1" si="29"/>
        <v>578.69999999999993</v>
      </c>
    </row>
    <row r="276" spans="1:7" x14ac:dyDescent="0.25">
      <c r="A276" s="1">
        <f t="shared" ca="1" si="28"/>
        <v>45652</v>
      </c>
      <c r="B276" t="str">
        <f t="shared" ca="1" si="30"/>
        <v>Store G</v>
      </c>
      <c r="C276" t="str">
        <f t="shared" ca="1" si="31"/>
        <v>Rep G</v>
      </c>
      <c r="D276" t="str">
        <f t="shared" ca="1" si="32"/>
        <v>Product A</v>
      </c>
      <c r="E276">
        <f t="shared" ca="1" si="33"/>
        <v>12</v>
      </c>
      <c r="F276" s="2">
        <f t="shared" ca="1" si="34"/>
        <v>18.25</v>
      </c>
      <c r="G276" s="2">
        <f t="shared" ca="1" si="29"/>
        <v>219</v>
      </c>
    </row>
    <row r="277" spans="1:7" x14ac:dyDescent="0.25">
      <c r="A277" s="1">
        <f t="shared" ca="1" si="28"/>
        <v>45414</v>
      </c>
      <c r="B277" t="str">
        <f t="shared" ca="1" si="30"/>
        <v>Store D</v>
      </c>
      <c r="C277" t="str">
        <f t="shared" ca="1" si="31"/>
        <v>Rep E</v>
      </c>
      <c r="D277" t="str">
        <f t="shared" ca="1" si="32"/>
        <v>Product E</v>
      </c>
      <c r="E277">
        <f t="shared" ca="1" si="33"/>
        <v>25</v>
      </c>
      <c r="F277" s="2">
        <f t="shared" ca="1" si="34"/>
        <v>24.1</v>
      </c>
      <c r="G277" s="2">
        <f t="shared" ca="1" si="29"/>
        <v>602.5</v>
      </c>
    </row>
    <row r="278" spans="1:7" x14ac:dyDescent="0.25">
      <c r="A278" s="1">
        <f t="shared" ca="1" si="28"/>
        <v>45400</v>
      </c>
      <c r="B278" t="str">
        <f t="shared" ca="1" si="30"/>
        <v>Store G</v>
      </c>
      <c r="C278" t="str">
        <f t="shared" ca="1" si="31"/>
        <v>Rep C</v>
      </c>
      <c r="D278" t="str">
        <f t="shared" ca="1" si="32"/>
        <v>Product H</v>
      </c>
      <c r="E278">
        <f t="shared" ca="1" si="33"/>
        <v>30</v>
      </c>
      <c r="F278" s="2">
        <f t="shared" ca="1" si="34"/>
        <v>12.29</v>
      </c>
      <c r="G278" s="2">
        <f t="shared" ca="1" si="29"/>
        <v>368.7</v>
      </c>
    </row>
    <row r="279" spans="1:7" x14ac:dyDescent="0.25">
      <c r="A279" s="1">
        <f t="shared" ca="1" si="28"/>
        <v>45493</v>
      </c>
      <c r="B279" t="str">
        <f t="shared" ca="1" si="30"/>
        <v>Store A</v>
      </c>
      <c r="C279" t="str">
        <f t="shared" ca="1" si="31"/>
        <v>Rep B</v>
      </c>
      <c r="D279" t="str">
        <f t="shared" ca="1" si="32"/>
        <v>Product C</v>
      </c>
      <c r="E279">
        <f t="shared" ca="1" si="33"/>
        <v>25</v>
      </c>
      <c r="F279" s="2">
        <f t="shared" ca="1" si="34"/>
        <v>12.06</v>
      </c>
      <c r="G279" s="2">
        <f t="shared" ca="1" si="29"/>
        <v>301.5</v>
      </c>
    </row>
    <row r="280" spans="1:7" x14ac:dyDescent="0.25">
      <c r="A280" s="1">
        <f t="shared" ca="1" si="28"/>
        <v>45500</v>
      </c>
      <c r="B280" t="str">
        <f t="shared" ca="1" si="30"/>
        <v>Store B</v>
      </c>
      <c r="C280" t="str">
        <f t="shared" ca="1" si="31"/>
        <v>Rep G</v>
      </c>
      <c r="D280" t="str">
        <f t="shared" ca="1" si="32"/>
        <v>Product H</v>
      </c>
      <c r="E280">
        <f t="shared" ca="1" si="33"/>
        <v>28</v>
      </c>
      <c r="F280" s="2">
        <f t="shared" ca="1" si="34"/>
        <v>7.78</v>
      </c>
      <c r="G280" s="2">
        <f t="shared" ca="1" si="29"/>
        <v>217.84</v>
      </c>
    </row>
    <row r="281" spans="1:7" x14ac:dyDescent="0.25">
      <c r="A281" s="1">
        <f t="shared" ca="1" si="28"/>
        <v>45587</v>
      </c>
      <c r="B281" t="str">
        <f t="shared" ca="1" si="30"/>
        <v>Store G</v>
      </c>
      <c r="C281" t="str">
        <f t="shared" ca="1" si="31"/>
        <v>Rep I</v>
      </c>
      <c r="D281" t="str">
        <f t="shared" ca="1" si="32"/>
        <v>Product E</v>
      </c>
      <c r="E281">
        <f t="shared" ca="1" si="33"/>
        <v>33</v>
      </c>
      <c r="F281" s="2">
        <f t="shared" ca="1" si="34"/>
        <v>21.24</v>
      </c>
      <c r="G281" s="2">
        <f t="shared" ca="1" si="29"/>
        <v>700.92</v>
      </c>
    </row>
    <row r="282" spans="1:7" x14ac:dyDescent="0.25">
      <c r="A282" s="1">
        <f t="shared" ca="1" si="28"/>
        <v>45454</v>
      </c>
      <c r="B282" t="str">
        <f t="shared" ca="1" si="30"/>
        <v>Store E</v>
      </c>
      <c r="C282" t="str">
        <f t="shared" ca="1" si="31"/>
        <v>Rep D</v>
      </c>
      <c r="D282" t="str">
        <f t="shared" ca="1" si="32"/>
        <v>Product E</v>
      </c>
      <c r="E282">
        <f t="shared" ca="1" si="33"/>
        <v>17</v>
      </c>
      <c r="F282" s="2">
        <f t="shared" ca="1" si="34"/>
        <v>15.85</v>
      </c>
      <c r="G282" s="2">
        <f t="shared" ca="1" si="29"/>
        <v>269.45</v>
      </c>
    </row>
    <row r="283" spans="1:7" x14ac:dyDescent="0.25">
      <c r="A283" s="1">
        <f t="shared" ca="1" si="28"/>
        <v>45627</v>
      </c>
      <c r="B283" t="str">
        <f t="shared" ca="1" si="30"/>
        <v>Store G</v>
      </c>
      <c r="C283" t="str">
        <f t="shared" ca="1" si="31"/>
        <v>Rep C</v>
      </c>
      <c r="D283" t="str">
        <f t="shared" ca="1" si="32"/>
        <v>Product G</v>
      </c>
      <c r="E283">
        <f t="shared" ca="1" si="33"/>
        <v>2</v>
      </c>
      <c r="F283" s="2">
        <f t="shared" ca="1" si="34"/>
        <v>9.84</v>
      </c>
      <c r="G283" s="2">
        <f t="shared" ca="1" si="29"/>
        <v>19.68</v>
      </c>
    </row>
    <row r="284" spans="1:7" x14ac:dyDescent="0.25">
      <c r="A284" s="1">
        <f t="shared" ca="1" si="28"/>
        <v>45487</v>
      </c>
      <c r="B284" t="str">
        <f t="shared" ca="1" si="30"/>
        <v>Store I</v>
      </c>
      <c r="C284" t="str">
        <f t="shared" ca="1" si="31"/>
        <v>Rep H</v>
      </c>
      <c r="D284" t="str">
        <f t="shared" ca="1" si="32"/>
        <v>Product C</v>
      </c>
      <c r="E284">
        <f t="shared" ca="1" si="33"/>
        <v>31</v>
      </c>
      <c r="F284" s="2">
        <f t="shared" ca="1" si="34"/>
        <v>21.93</v>
      </c>
      <c r="G284" s="2">
        <f t="shared" ca="1" si="29"/>
        <v>679.83</v>
      </c>
    </row>
    <row r="285" spans="1:7" x14ac:dyDescent="0.25">
      <c r="A285" s="1">
        <f t="shared" ref="A285:A299" ca="1" si="35">RANDBETWEEN(DATE(2024,1,1),DATE(2024,12,31))</f>
        <v>45380</v>
      </c>
      <c r="B285" t="str">
        <f t="shared" ca="1" si="30"/>
        <v>Store H</v>
      </c>
      <c r="C285" t="str">
        <f t="shared" ca="1" si="31"/>
        <v>Rep J</v>
      </c>
      <c r="D285" t="str">
        <f t="shared" ca="1" si="32"/>
        <v>Product B</v>
      </c>
      <c r="E285">
        <f t="shared" ca="1" si="33"/>
        <v>39</v>
      </c>
      <c r="F285" s="2">
        <f t="shared" ca="1" si="34"/>
        <v>22.44</v>
      </c>
      <c r="G285" s="2">
        <f t="shared" ca="1" si="29"/>
        <v>875.16000000000008</v>
      </c>
    </row>
    <row r="286" spans="1:7" x14ac:dyDescent="0.25">
      <c r="A286" s="1">
        <f t="shared" ca="1" si="35"/>
        <v>45513</v>
      </c>
      <c r="B286" t="str">
        <f t="shared" ca="1" si="30"/>
        <v>Store F</v>
      </c>
      <c r="C286" t="str">
        <f t="shared" ca="1" si="31"/>
        <v>Rep F</v>
      </c>
      <c r="D286" t="str">
        <f t="shared" ca="1" si="32"/>
        <v>Product C</v>
      </c>
      <c r="E286">
        <f t="shared" ca="1" si="33"/>
        <v>21</v>
      </c>
      <c r="F286" s="2">
        <f t="shared" ca="1" si="34"/>
        <v>24.53</v>
      </c>
      <c r="G286" s="2">
        <f t="shared" ca="1" si="29"/>
        <v>515.13</v>
      </c>
    </row>
    <row r="287" spans="1:7" x14ac:dyDescent="0.25">
      <c r="A287" s="1">
        <f t="shared" ca="1" si="35"/>
        <v>45366</v>
      </c>
      <c r="B287" t="str">
        <f t="shared" ca="1" si="30"/>
        <v>Store J</v>
      </c>
      <c r="C287" t="str">
        <f t="shared" ca="1" si="31"/>
        <v>Rep E</v>
      </c>
      <c r="D287" t="str">
        <f t="shared" ca="1" si="32"/>
        <v>Product E</v>
      </c>
      <c r="E287">
        <f t="shared" ca="1" si="33"/>
        <v>1</v>
      </c>
      <c r="F287" s="2">
        <f t="shared" ca="1" si="34"/>
        <v>17.77</v>
      </c>
      <c r="G287" s="2">
        <f t="shared" ca="1" si="29"/>
        <v>17.77</v>
      </c>
    </row>
    <row r="288" spans="1:7" x14ac:dyDescent="0.25">
      <c r="A288" s="1">
        <f t="shared" ca="1" si="35"/>
        <v>45633</v>
      </c>
      <c r="B288" t="str">
        <f t="shared" ca="1" si="30"/>
        <v>Store E</v>
      </c>
      <c r="C288" t="str">
        <f t="shared" ca="1" si="31"/>
        <v>Rep J</v>
      </c>
      <c r="D288" t="str">
        <f t="shared" ca="1" si="32"/>
        <v>Product B</v>
      </c>
      <c r="E288">
        <f t="shared" ca="1" si="33"/>
        <v>48</v>
      </c>
      <c r="F288" s="2">
        <f t="shared" ca="1" si="34"/>
        <v>24.83</v>
      </c>
      <c r="G288" s="2">
        <f t="shared" ca="1" si="29"/>
        <v>1191.8399999999999</v>
      </c>
    </row>
    <row r="289" spans="1:7" x14ac:dyDescent="0.25">
      <c r="A289" s="1">
        <f t="shared" ca="1" si="35"/>
        <v>45336</v>
      </c>
      <c r="B289" t="str">
        <f t="shared" ca="1" si="30"/>
        <v>Store E</v>
      </c>
      <c r="C289" t="str">
        <f t="shared" ca="1" si="31"/>
        <v>Rep B</v>
      </c>
      <c r="D289" t="str">
        <f t="shared" ca="1" si="32"/>
        <v>Product C</v>
      </c>
      <c r="E289">
        <f t="shared" ca="1" si="33"/>
        <v>12</v>
      </c>
      <c r="F289" s="2">
        <f t="shared" ca="1" si="34"/>
        <v>2.39</v>
      </c>
      <c r="G289" s="2">
        <f t="shared" ca="1" si="29"/>
        <v>28.68</v>
      </c>
    </row>
    <row r="290" spans="1:7" x14ac:dyDescent="0.25">
      <c r="A290" s="1">
        <f t="shared" ca="1" si="35"/>
        <v>45338</v>
      </c>
      <c r="B290" t="str">
        <f t="shared" ca="1" si="30"/>
        <v>Store I</v>
      </c>
      <c r="C290" t="str">
        <f t="shared" ca="1" si="31"/>
        <v>Rep C</v>
      </c>
      <c r="D290" t="str">
        <f t="shared" ca="1" si="32"/>
        <v>Product I</v>
      </c>
      <c r="E290">
        <f t="shared" ca="1" si="33"/>
        <v>35</v>
      </c>
      <c r="F290" s="2">
        <f t="shared" ca="1" si="34"/>
        <v>20.07</v>
      </c>
      <c r="G290" s="2">
        <f t="shared" ca="1" si="29"/>
        <v>702.45</v>
      </c>
    </row>
    <row r="291" spans="1:7" x14ac:dyDescent="0.25">
      <c r="A291" s="1">
        <f t="shared" ca="1" si="35"/>
        <v>45448</v>
      </c>
      <c r="B291" t="str">
        <f t="shared" ca="1" si="30"/>
        <v>Store J</v>
      </c>
      <c r="C291" t="str">
        <f t="shared" ca="1" si="31"/>
        <v>Rep J</v>
      </c>
      <c r="D291" t="str">
        <f t="shared" ca="1" si="32"/>
        <v>Product H</v>
      </c>
      <c r="E291">
        <f t="shared" ca="1" si="33"/>
        <v>13</v>
      </c>
      <c r="F291" s="2">
        <f t="shared" ca="1" si="34"/>
        <v>14.05</v>
      </c>
      <c r="G291" s="2">
        <f t="shared" ca="1" si="29"/>
        <v>182.65</v>
      </c>
    </row>
    <row r="292" spans="1:7" x14ac:dyDescent="0.25">
      <c r="A292" s="1">
        <f t="shared" ca="1" si="35"/>
        <v>45430</v>
      </c>
      <c r="B292" t="str">
        <f t="shared" ca="1" si="30"/>
        <v>Store E</v>
      </c>
      <c r="C292" t="str">
        <f t="shared" ca="1" si="31"/>
        <v>Rep I</v>
      </c>
      <c r="D292" t="str">
        <f t="shared" ca="1" si="32"/>
        <v>Product B</v>
      </c>
      <c r="E292">
        <f t="shared" ca="1" si="33"/>
        <v>33</v>
      </c>
      <c r="F292" s="2">
        <f t="shared" ca="1" si="34"/>
        <v>6.23</v>
      </c>
      <c r="G292" s="2">
        <f t="shared" ca="1" si="29"/>
        <v>205.59</v>
      </c>
    </row>
    <row r="293" spans="1:7" x14ac:dyDescent="0.25">
      <c r="A293" s="1">
        <f t="shared" ca="1" si="35"/>
        <v>45302</v>
      </c>
      <c r="B293" t="str">
        <f t="shared" ca="1" si="30"/>
        <v>Store J</v>
      </c>
      <c r="C293" t="str">
        <f t="shared" ca="1" si="31"/>
        <v>Rep E</v>
      </c>
      <c r="D293" t="str">
        <f t="shared" ca="1" si="32"/>
        <v>Product C</v>
      </c>
      <c r="E293">
        <f t="shared" ca="1" si="33"/>
        <v>44</v>
      </c>
      <c r="F293" s="2">
        <f t="shared" ca="1" si="34"/>
        <v>22.87</v>
      </c>
      <c r="G293" s="2">
        <f t="shared" ca="1" si="29"/>
        <v>1006.2800000000001</v>
      </c>
    </row>
    <row r="294" spans="1:7" x14ac:dyDescent="0.25">
      <c r="A294" s="1">
        <f t="shared" ca="1" si="35"/>
        <v>45517</v>
      </c>
      <c r="B294" t="str">
        <f t="shared" ca="1" si="30"/>
        <v>Store F</v>
      </c>
      <c r="C294" t="str">
        <f t="shared" ca="1" si="31"/>
        <v>Rep I</v>
      </c>
      <c r="D294" t="str">
        <f t="shared" ca="1" si="32"/>
        <v>Product I</v>
      </c>
      <c r="E294">
        <f t="shared" ca="1" si="33"/>
        <v>50</v>
      </c>
      <c r="F294" s="2">
        <f t="shared" ca="1" si="34"/>
        <v>8.25</v>
      </c>
      <c r="G294" s="2">
        <f t="shared" ca="1" si="29"/>
        <v>412.5</v>
      </c>
    </row>
    <row r="295" spans="1:7" x14ac:dyDescent="0.25">
      <c r="A295" s="1">
        <f t="shared" ca="1" si="35"/>
        <v>45434</v>
      </c>
      <c r="B295" t="str">
        <f t="shared" ca="1" si="30"/>
        <v>Store A</v>
      </c>
      <c r="C295" t="str">
        <f t="shared" ca="1" si="31"/>
        <v>Rep B</v>
      </c>
      <c r="D295" t="str">
        <f t="shared" ca="1" si="32"/>
        <v>Product J</v>
      </c>
      <c r="E295">
        <f t="shared" ca="1" si="33"/>
        <v>5</v>
      </c>
      <c r="F295" s="2">
        <f t="shared" ca="1" si="34"/>
        <v>6.76</v>
      </c>
      <c r="G295" s="2">
        <f t="shared" ca="1" si="29"/>
        <v>33.799999999999997</v>
      </c>
    </row>
    <row r="296" spans="1:7" x14ac:dyDescent="0.25">
      <c r="A296" s="1">
        <f t="shared" ca="1" si="35"/>
        <v>45343</v>
      </c>
      <c r="B296" t="str">
        <f t="shared" ca="1" si="30"/>
        <v>Store C</v>
      </c>
      <c r="C296" t="str">
        <f t="shared" ca="1" si="31"/>
        <v>Rep F</v>
      </c>
      <c r="D296" t="str">
        <f t="shared" ca="1" si="32"/>
        <v>Product J</v>
      </c>
      <c r="E296">
        <f t="shared" ca="1" si="33"/>
        <v>7</v>
      </c>
      <c r="F296" s="2">
        <f t="shared" ca="1" si="34"/>
        <v>22.53</v>
      </c>
      <c r="G296" s="2">
        <f t="shared" ca="1" si="29"/>
        <v>157.71</v>
      </c>
    </row>
    <row r="297" spans="1:7" x14ac:dyDescent="0.25">
      <c r="A297" s="1">
        <f t="shared" ca="1" si="35"/>
        <v>45437</v>
      </c>
      <c r="B297" t="str">
        <f t="shared" ca="1" si="30"/>
        <v>Store D</v>
      </c>
      <c r="C297" t="str">
        <f t="shared" ca="1" si="31"/>
        <v>Rep G</v>
      </c>
      <c r="D297" t="str">
        <f t="shared" ca="1" si="32"/>
        <v>Product C</v>
      </c>
      <c r="E297">
        <f t="shared" ca="1" si="33"/>
        <v>18</v>
      </c>
      <c r="F297" s="2">
        <f t="shared" ca="1" si="34"/>
        <v>7.53</v>
      </c>
      <c r="G297" s="2">
        <f t="shared" ca="1" si="29"/>
        <v>135.54</v>
      </c>
    </row>
    <row r="298" spans="1:7" x14ac:dyDescent="0.25">
      <c r="A298" s="1">
        <f t="shared" ca="1" si="35"/>
        <v>45651</v>
      </c>
      <c r="B298" t="str">
        <f t="shared" ca="1" si="30"/>
        <v>Store B</v>
      </c>
      <c r="C298" t="str">
        <f t="shared" ca="1" si="31"/>
        <v>Rep J</v>
      </c>
      <c r="D298" t="str">
        <f t="shared" ca="1" si="32"/>
        <v>Product H</v>
      </c>
      <c r="E298">
        <f t="shared" ca="1" si="33"/>
        <v>4</v>
      </c>
      <c r="F298" s="2">
        <f t="shared" ca="1" si="34"/>
        <v>16.850000000000001</v>
      </c>
      <c r="G298" s="2">
        <f t="shared" ca="1" si="29"/>
        <v>67.400000000000006</v>
      </c>
    </row>
    <row r="299" spans="1:7" x14ac:dyDescent="0.25">
      <c r="A299" s="1">
        <f t="shared" ca="1" si="35"/>
        <v>45486</v>
      </c>
      <c r="B299" t="str">
        <f t="shared" ca="1" si="30"/>
        <v>Store G</v>
      </c>
      <c r="C299" t="str">
        <f t="shared" ca="1" si="31"/>
        <v>Rep G</v>
      </c>
      <c r="D299" t="str">
        <f t="shared" ca="1" si="32"/>
        <v>Product C</v>
      </c>
      <c r="E299">
        <f t="shared" ca="1" si="33"/>
        <v>41</v>
      </c>
      <c r="F299" s="2">
        <f t="shared" ca="1" si="34"/>
        <v>13</v>
      </c>
      <c r="G299" s="2">
        <f t="shared" ca="1" si="29"/>
        <v>533</v>
      </c>
    </row>
    <row r="300" spans="1:7" x14ac:dyDescent="0.25">
      <c r="A300" s="1">
        <f ca="1">RANDBETWEEN(DATE(2024,1,1),DATE(2024,12,31))</f>
        <v>45512</v>
      </c>
      <c r="B300" t="str">
        <f t="shared" ca="1" si="30"/>
        <v>Store D</v>
      </c>
      <c r="C300" t="str">
        <f t="shared" ca="1" si="31"/>
        <v>Rep B</v>
      </c>
      <c r="D300" t="str">
        <f t="shared" ca="1" si="32"/>
        <v>Product D</v>
      </c>
      <c r="E300">
        <f t="shared" ca="1" si="33"/>
        <v>16</v>
      </c>
      <c r="F300" s="2">
        <f t="shared" ca="1" si="34"/>
        <v>4.88</v>
      </c>
      <c r="G300" s="2">
        <f t="shared" ca="1" si="29"/>
        <v>78.08</v>
      </c>
    </row>
    <row r="301" spans="1:7" x14ac:dyDescent="0.25">
      <c r="A301" s="1">
        <f t="shared" ref="A301:A315" ca="1" si="36">RANDBETWEEN(DATE(2024,1,1),DATE(2024,12,31))</f>
        <v>45532</v>
      </c>
      <c r="B301" t="str">
        <f t="shared" ca="1" si="30"/>
        <v>Store A</v>
      </c>
      <c r="C301" t="str">
        <f t="shared" ca="1" si="31"/>
        <v>Rep D</v>
      </c>
      <c r="D301" t="str">
        <f t="shared" ca="1" si="32"/>
        <v>Product E</v>
      </c>
      <c r="E301">
        <f t="shared" ca="1" si="33"/>
        <v>19</v>
      </c>
      <c r="F301" s="2">
        <f t="shared" ca="1" si="34"/>
        <v>3.49</v>
      </c>
      <c r="G301" s="2">
        <f t="shared" ca="1" si="29"/>
        <v>66.31</v>
      </c>
    </row>
    <row r="302" spans="1:7" x14ac:dyDescent="0.25">
      <c r="A302" s="1">
        <f t="shared" ca="1" si="36"/>
        <v>45342</v>
      </c>
      <c r="B302" t="str">
        <f t="shared" ca="1" si="30"/>
        <v>Store E</v>
      </c>
      <c r="C302" t="str">
        <f t="shared" ca="1" si="31"/>
        <v>Rep D</v>
      </c>
      <c r="D302" t="str">
        <f t="shared" ca="1" si="32"/>
        <v>Product I</v>
      </c>
      <c r="E302">
        <f t="shared" ca="1" si="33"/>
        <v>28</v>
      </c>
      <c r="F302" s="2">
        <f t="shared" ca="1" si="34"/>
        <v>21.79</v>
      </c>
      <c r="G302" s="2">
        <f t="shared" ca="1" si="29"/>
        <v>610.12</v>
      </c>
    </row>
    <row r="303" spans="1:7" x14ac:dyDescent="0.25">
      <c r="A303" s="1">
        <f t="shared" ca="1" si="36"/>
        <v>45390</v>
      </c>
      <c r="B303" t="str">
        <f t="shared" ca="1" si="30"/>
        <v>Store H</v>
      </c>
      <c r="C303" t="str">
        <f t="shared" ca="1" si="31"/>
        <v>Rep D</v>
      </c>
      <c r="D303" t="str">
        <f t="shared" ca="1" si="32"/>
        <v>Product D</v>
      </c>
      <c r="E303">
        <f t="shared" ca="1" si="33"/>
        <v>40</v>
      </c>
      <c r="F303" s="2">
        <f t="shared" ca="1" si="34"/>
        <v>9.81</v>
      </c>
      <c r="G303" s="2">
        <f t="shared" ca="1" si="29"/>
        <v>392.40000000000003</v>
      </c>
    </row>
    <row r="304" spans="1:7" x14ac:dyDescent="0.25">
      <c r="A304" s="1">
        <f t="shared" ca="1" si="36"/>
        <v>45506</v>
      </c>
      <c r="B304" t="str">
        <f t="shared" ca="1" si="30"/>
        <v>Store D</v>
      </c>
      <c r="C304" t="str">
        <f t="shared" ca="1" si="31"/>
        <v>Rep H</v>
      </c>
      <c r="D304" t="str">
        <f t="shared" ca="1" si="32"/>
        <v>Product E</v>
      </c>
      <c r="E304">
        <f t="shared" ca="1" si="33"/>
        <v>12</v>
      </c>
      <c r="F304" s="2">
        <f t="shared" ca="1" si="34"/>
        <v>12.6</v>
      </c>
      <c r="G304" s="2">
        <f t="shared" ca="1" si="29"/>
        <v>151.19999999999999</v>
      </c>
    </row>
    <row r="305" spans="1:7" x14ac:dyDescent="0.25">
      <c r="A305" s="1">
        <f t="shared" ca="1" si="36"/>
        <v>45533</v>
      </c>
      <c r="B305" t="str">
        <f t="shared" ca="1" si="30"/>
        <v>Store E</v>
      </c>
      <c r="C305" t="str">
        <f t="shared" ca="1" si="31"/>
        <v>Rep F</v>
      </c>
      <c r="D305" t="str">
        <f t="shared" ca="1" si="32"/>
        <v>Product G</v>
      </c>
      <c r="E305">
        <f t="shared" ca="1" si="33"/>
        <v>33</v>
      </c>
      <c r="F305" s="2">
        <f t="shared" ca="1" si="34"/>
        <v>6.57</v>
      </c>
      <c r="G305" s="2">
        <f t="shared" ca="1" si="29"/>
        <v>216.81</v>
      </c>
    </row>
    <row r="306" spans="1:7" x14ac:dyDescent="0.25">
      <c r="A306" s="1">
        <f t="shared" ca="1" si="36"/>
        <v>45293</v>
      </c>
      <c r="B306" t="str">
        <f t="shared" ca="1" si="30"/>
        <v>Store E</v>
      </c>
      <c r="C306" t="str">
        <f t="shared" ca="1" si="31"/>
        <v>Rep D</v>
      </c>
      <c r="D306" t="str">
        <f t="shared" ca="1" si="32"/>
        <v>Product A</v>
      </c>
      <c r="E306">
        <f t="shared" ca="1" si="33"/>
        <v>40</v>
      </c>
      <c r="F306" s="2">
        <f t="shared" ca="1" si="34"/>
        <v>10</v>
      </c>
      <c r="G306" s="2">
        <f t="shared" ca="1" si="29"/>
        <v>400</v>
      </c>
    </row>
    <row r="307" spans="1:7" x14ac:dyDescent="0.25">
      <c r="A307" s="1">
        <f t="shared" ca="1" si="36"/>
        <v>45605</v>
      </c>
      <c r="B307" t="str">
        <f t="shared" ca="1" si="30"/>
        <v>Store I</v>
      </c>
      <c r="C307" t="str">
        <f t="shared" ca="1" si="31"/>
        <v>Rep G</v>
      </c>
      <c r="D307" t="str">
        <f t="shared" ca="1" si="32"/>
        <v>Product E</v>
      </c>
      <c r="E307">
        <f t="shared" ca="1" si="33"/>
        <v>48</v>
      </c>
      <c r="F307" s="2">
        <f t="shared" ca="1" si="34"/>
        <v>10.31</v>
      </c>
      <c r="G307" s="2">
        <f t="shared" ca="1" si="29"/>
        <v>494.88</v>
      </c>
    </row>
    <row r="308" spans="1:7" x14ac:dyDescent="0.25">
      <c r="A308" s="1">
        <f t="shared" ca="1" si="36"/>
        <v>45471</v>
      </c>
      <c r="B308" t="str">
        <f t="shared" ca="1" si="30"/>
        <v>Store A</v>
      </c>
      <c r="C308" t="str">
        <f t="shared" ca="1" si="31"/>
        <v>Rep C</v>
      </c>
      <c r="D308" t="str">
        <f t="shared" ca="1" si="32"/>
        <v>Product B</v>
      </c>
      <c r="E308">
        <f t="shared" ca="1" si="33"/>
        <v>5</v>
      </c>
      <c r="F308" s="2">
        <f t="shared" ca="1" si="34"/>
        <v>19.64</v>
      </c>
      <c r="G308" s="2">
        <f t="shared" ca="1" si="29"/>
        <v>98.2</v>
      </c>
    </row>
    <row r="309" spans="1:7" x14ac:dyDescent="0.25">
      <c r="A309" s="1">
        <f t="shared" ca="1" si="36"/>
        <v>45493</v>
      </c>
      <c r="B309" t="str">
        <f t="shared" ca="1" si="30"/>
        <v>Store C</v>
      </c>
      <c r="C309" t="str">
        <f t="shared" ca="1" si="31"/>
        <v>Rep C</v>
      </c>
      <c r="D309" t="str">
        <f t="shared" ca="1" si="32"/>
        <v>Product E</v>
      </c>
      <c r="E309">
        <f t="shared" ca="1" si="33"/>
        <v>40</v>
      </c>
      <c r="F309" s="2">
        <f t="shared" ca="1" si="34"/>
        <v>26.94</v>
      </c>
      <c r="G309" s="2">
        <f t="shared" ca="1" si="29"/>
        <v>1077.6000000000001</v>
      </c>
    </row>
    <row r="310" spans="1:7" x14ac:dyDescent="0.25">
      <c r="A310" s="1">
        <f t="shared" ca="1" si="36"/>
        <v>45363</v>
      </c>
      <c r="B310" t="str">
        <f t="shared" ca="1" si="30"/>
        <v>Store B</v>
      </c>
      <c r="C310" t="str">
        <f t="shared" ca="1" si="31"/>
        <v>Rep E</v>
      </c>
      <c r="D310" t="str">
        <f t="shared" ca="1" si="32"/>
        <v>Product D</v>
      </c>
      <c r="E310">
        <f t="shared" ca="1" si="33"/>
        <v>3</v>
      </c>
      <c r="F310" s="2">
        <f t="shared" ca="1" si="34"/>
        <v>13.26</v>
      </c>
      <c r="G310" s="2">
        <f t="shared" ca="1" si="29"/>
        <v>39.78</v>
      </c>
    </row>
    <row r="311" spans="1:7" x14ac:dyDescent="0.25">
      <c r="A311" s="1">
        <f t="shared" ca="1" si="36"/>
        <v>45402</v>
      </c>
      <c r="B311" t="str">
        <f t="shared" ca="1" si="30"/>
        <v>Store C</v>
      </c>
      <c r="C311" t="str">
        <f t="shared" ca="1" si="31"/>
        <v>Rep F</v>
      </c>
      <c r="D311" t="str">
        <f t="shared" ca="1" si="32"/>
        <v>Product F</v>
      </c>
      <c r="E311">
        <f t="shared" ca="1" si="33"/>
        <v>11</v>
      </c>
      <c r="F311" s="2">
        <f t="shared" ca="1" si="34"/>
        <v>7.66</v>
      </c>
      <c r="G311" s="2">
        <f t="shared" ca="1" si="29"/>
        <v>84.26</v>
      </c>
    </row>
    <row r="312" spans="1:7" x14ac:dyDescent="0.25">
      <c r="A312" s="1">
        <f t="shared" ca="1" si="36"/>
        <v>45559</v>
      </c>
      <c r="B312" t="str">
        <f t="shared" ca="1" si="30"/>
        <v>Store I</v>
      </c>
      <c r="C312" t="str">
        <f t="shared" ca="1" si="31"/>
        <v>Rep D</v>
      </c>
      <c r="D312" t="str">
        <f t="shared" ca="1" si="32"/>
        <v>Product F</v>
      </c>
      <c r="E312">
        <f t="shared" ca="1" si="33"/>
        <v>29</v>
      </c>
      <c r="F312" s="2">
        <f t="shared" ca="1" si="34"/>
        <v>18.79</v>
      </c>
      <c r="G312" s="2">
        <f t="shared" ca="1" si="29"/>
        <v>544.91</v>
      </c>
    </row>
    <row r="313" spans="1:7" x14ac:dyDescent="0.25">
      <c r="A313" s="1">
        <f t="shared" ca="1" si="36"/>
        <v>45367</v>
      </c>
      <c r="B313" t="str">
        <f t="shared" ca="1" si="30"/>
        <v>Store J</v>
      </c>
      <c r="C313" t="str">
        <f t="shared" ca="1" si="31"/>
        <v>Rep F</v>
      </c>
      <c r="D313" t="str">
        <f t="shared" ca="1" si="32"/>
        <v>Product G</v>
      </c>
      <c r="E313">
        <f t="shared" ca="1" si="33"/>
        <v>23</v>
      </c>
      <c r="F313" s="2">
        <f t="shared" ca="1" si="34"/>
        <v>26.84</v>
      </c>
      <c r="G313" s="2">
        <f t="shared" ca="1" si="29"/>
        <v>617.32000000000005</v>
      </c>
    </row>
    <row r="314" spans="1:7" x14ac:dyDescent="0.25">
      <c r="A314" s="1">
        <f t="shared" ca="1" si="36"/>
        <v>45322</v>
      </c>
      <c r="B314" t="str">
        <f t="shared" ca="1" si="30"/>
        <v>Store A</v>
      </c>
      <c r="C314" t="str">
        <f t="shared" ca="1" si="31"/>
        <v>Rep I</v>
      </c>
      <c r="D314" t="str">
        <f t="shared" ca="1" si="32"/>
        <v>Product H</v>
      </c>
      <c r="E314">
        <f t="shared" ca="1" si="33"/>
        <v>43</v>
      </c>
      <c r="F314" s="2">
        <f t="shared" ca="1" si="34"/>
        <v>23.24</v>
      </c>
      <c r="G314" s="2">
        <f t="shared" ca="1" si="29"/>
        <v>999.31999999999994</v>
      </c>
    </row>
    <row r="315" spans="1:7" x14ac:dyDescent="0.25">
      <c r="A315" s="1">
        <f t="shared" ca="1" si="36"/>
        <v>45397</v>
      </c>
      <c r="B315" t="str">
        <f t="shared" ca="1" si="30"/>
        <v>Store D</v>
      </c>
      <c r="C315" t="str">
        <f t="shared" ca="1" si="31"/>
        <v>Rep C</v>
      </c>
      <c r="D315" t="str">
        <f t="shared" ca="1" si="32"/>
        <v>Product C</v>
      </c>
      <c r="E315">
        <f t="shared" ca="1" si="33"/>
        <v>16</v>
      </c>
      <c r="F315" s="2">
        <f t="shared" ca="1" si="34"/>
        <v>22.72</v>
      </c>
      <c r="G315" s="2">
        <f t="shared" ca="1" si="29"/>
        <v>363.52</v>
      </c>
    </row>
    <row r="316" spans="1:7" x14ac:dyDescent="0.25">
      <c r="A316" s="1">
        <f ca="1">RANDBETWEEN(DATE(2024,1,1),DATE(2024,12,31))</f>
        <v>45599</v>
      </c>
      <c r="B316" t="str">
        <f t="shared" ca="1" si="30"/>
        <v>Store D</v>
      </c>
      <c r="C316" t="str">
        <f t="shared" ca="1" si="31"/>
        <v>Rep I</v>
      </c>
      <c r="D316" t="str">
        <f t="shared" ca="1" si="32"/>
        <v>Product H</v>
      </c>
      <c r="E316">
        <f t="shared" ca="1" si="33"/>
        <v>45</v>
      </c>
      <c r="F316" s="2">
        <f t="shared" ca="1" si="34"/>
        <v>26.65</v>
      </c>
      <c r="G316" s="2">
        <f t="shared" ca="1" si="29"/>
        <v>1199.25</v>
      </c>
    </row>
    <row r="317" spans="1:7" x14ac:dyDescent="0.25">
      <c r="A317" s="1">
        <f t="shared" ref="A317:A380" ca="1" si="37">RANDBETWEEN(DATE(2024,1,1),DATE(2024,12,31))</f>
        <v>45449</v>
      </c>
      <c r="B317" t="str">
        <f t="shared" ca="1" si="30"/>
        <v>Store J</v>
      </c>
      <c r="C317" t="str">
        <f t="shared" ca="1" si="31"/>
        <v>Rep F</v>
      </c>
      <c r="D317" t="str">
        <f t="shared" ca="1" si="32"/>
        <v>Product G</v>
      </c>
      <c r="E317">
        <f t="shared" ca="1" si="33"/>
        <v>27</v>
      </c>
      <c r="F317" s="2">
        <f t="shared" ca="1" si="34"/>
        <v>27.55</v>
      </c>
      <c r="G317" s="2">
        <f t="shared" ca="1" si="29"/>
        <v>743.85</v>
      </c>
    </row>
    <row r="318" spans="1:7" x14ac:dyDescent="0.25">
      <c r="A318" s="1">
        <f t="shared" ca="1" si="37"/>
        <v>45571</v>
      </c>
      <c r="B318" t="str">
        <f t="shared" ca="1" si="30"/>
        <v>Store A</v>
      </c>
      <c r="C318" t="str">
        <f t="shared" ca="1" si="31"/>
        <v>Rep E</v>
      </c>
      <c r="D318" t="str">
        <f t="shared" ca="1" si="32"/>
        <v>Product E</v>
      </c>
      <c r="E318">
        <f t="shared" ca="1" si="33"/>
        <v>1</v>
      </c>
      <c r="F318" s="2">
        <f t="shared" ca="1" si="34"/>
        <v>2.9</v>
      </c>
      <c r="G318" s="2">
        <f t="shared" ca="1" si="29"/>
        <v>2.9</v>
      </c>
    </row>
    <row r="319" spans="1:7" x14ac:dyDescent="0.25">
      <c r="A319" s="1">
        <f t="shared" ca="1" si="37"/>
        <v>45394</v>
      </c>
      <c r="B319" t="str">
        <f t="shared" ca="1" si="30"/>
        <v>Store B</v>
      </c>
      <c r="C319" t="str">
        <f t="shared" ca="1" si="31"/>
        <v>Rep C</v>
      </c>
      <c r="D319" t="str">
        <f t="shared" ca="1" si="32"/>
        <v>Product C</v>
      </c>
      <c r="E319">
        <f t="shared" ca="1" si="33"/>
        <v>49</v>
      </c>
      <c r="F319" s="2">
        <f t="shared" ca="1" si="34"/>
        <v>12.58</v>
      </c>
      <c r="G319" s="2">
        <f t="shared" ca="1" si="29"/>
        <v>616.41999999999996</v>
      </c>
    </row>
    <row r="320" spans="1:7" x14ac:dyDescent="0.25">
      <c r="A320" s="1">
        <f t="shared" ca="1" si="37"/>
        <v>45475</v>
      </c>
      <c r="B320" t="str">
        <f t="shared" ca="1" si="30"/>
        <v>Store I</v>
      </c>
      <c r="C320" t="str">
        <f t="shared" ca="1" si="31"/>
        <v>Rep E</v>
      </c>
      <c r="D320" t="str">
        <f t="shared" ca="1" si="32"/>
        <v>Product I</v>
      </c>
      <c r="E320">
        <f t="shared" ca="1" si="33"/>
        <v>31</v>
      </c>
      <c r="F320" s="2">
        <f t="shared" ca="1" si="34"/>
        <v>18.64</v>
      </c>
      <c r="G320" s="2">
        <f t="shared" ca="1" si="29"/>
        <v>577.84</v>
      </c>
    </row>
    <row r="321" spans="1:7" x14ac:dyDescent="0.25">
      <c r="A321" s="1">
        <f t="shared" ca="1" si="37"/>
        <v>45441</v>
      </c>
      <c r="B321" t="str">
        <f t="shared" ca="1" si="30"/>
        <v>Store A</v>
      </c>
      <c r="C321" t="str">
        <f t="shared" ca="1" si="31"/>
        <v>Rep G</v>
      </c>
      <c r="D321" t="str">
        <f t="shared" ca="1" si="32"/>
        <v>Product A</v>
      </c>
      <c r="E321">
        <f t="shared" ca="1" si="33"/>
        <v>12</v>
      </c>
      <c r="F321" s="2">
        <f t="shared" ca="1" si="34"/>
        <v>12.55</v>
      </c>
      <c r="G321" s="2">
        <f t="shared" ca="1" si="29"/>
        <v>150.60000000000002</v>
      </c>
    </row>
    <row r="322" spans="1:7" x14ac:dyDescent="0.25">
      <c r="A322" s="1">
        <f t="shared" ca="1" si="37"/>
        <v>45397</v>
      </c>
      <c r="B322" t="str">
        <f t="shared" ca="1" si="30"/>
        <v>Store D</v>
      </c>
      <c r="C322" t="str">
        <f t="shared" ca="1" si="31"/>
        <v>Rep B</v>
      </c>
      <c r="D322" t="str">
        <f t="shared" ca="1" si="32"/>
        <v>Product D</v>
      </c>
      <c r="E322">
        <f t="shared" ca="1" si="33"/>
        <v>30</v>
      </c>
      <c r="F322" s="2">
        <f t="shared" ca="1" si="34"/>
        <v>11.75</v>
      </c>
      <c r="G322" s="2">
        <f t="shared" ref="G322:G385" ca="1" si="38">E322*F322</f>
        <v>352.5</v>
      </c>
    </row>
    <row r="323" spans="1:7" x14ac:dyDescent="0.25">
      <c r="A323" s="1">
        <f t="shared" ca="1" si="37"/>
        <v>45636</v>
      </c>
      <c r="B323" t="str">
        <f t="shared" ref="B323:B386" ca="1" si="39">CHOOSE(RANDBETWEEN(1,10),"Store A","Store B","Store C","Store D","Store E","Store F","Store G","Store H","Store I","Store J")</f>
        <v>Store I</v>
      </c>
      <c r="C323" t="str">
        <f t="shared" ref="C323:C386" ca="1" si="40">CHOOSE(RANDBETWEEN(1,10),"Rep A","Rep B","Rep C","Rep D","Rep E","Rep F","Rep G","Rep H","Rep I","Rep J")</f>
        <v>Rep C</v>
      </c>
      <c r="D323" t="str">
        <f t="shared" ref="D323:D386" ca="1" si="41">CHOOSE(RANDBETWEEN(1,10),"Product A","Product B","Product C","Product D","Product E","Product F","Product G","Product H","Product I","Product J")</f>
        <v>Product E</v>
      </c>
      <c r="E323">
        <f t="shared" ref="E323:E386" ca="1" si="42">RANDBETWEEN(1,50)</f>
        <v>33</v>
      </c>
      <c r="F323" s="2">
        <f t="shared" ref="F323:F386" ca="1" si="43">ROUND(2+28*RAND(),2)</f>
        <v>25.85</v>
      </c>
      <c r="G323" s="2">
        <f t="shared" ca="1" si="38"/>
        <v>853.05000000000007</v>
      </c>
    </row>
    <row r="324" spans="1:7" x14ac:dyDescent="0.25">
      <c r="A324" s="1">
        <f t="shared" ca="1" si="37"/>
        <v>45649</v>
      </c>
      <c r="B324" t="str">
        <f t="shared" ca="1" si="39"/>
        <v>Store A</v>
      </c>
      <c r="C324" t="str">
        <f t="shared" ca="1" si="40"/>
        <v>Rep H</v>
      </c>
      <c r="D324" t="str">
        <f t="shared" ca="1" si="41"/>
        <v>Product H</v>
      </c>
      <c r="E324">
        <f t="shared" ca="1" si="42"/>
        <v>18</v>
      </c>
      <c r="F324" s="2">
        <f t="shared" ca="1" si="43"/>
        <v>3.64</v>
      </c>
      <c r="G324" s="2">
        <f t="shared" ca="1" si="38"/>
        <v>65.52</v>
      </c>
    </row>
    <row r="325" spans="1:7" x14ac:dyDescent="0.25">
      <c r="A325" s="1">
        <f t="shared" ca="1" si="37"/>
        <v>45596</v>
      </c>
      <c r="B325" t="str">
        <f t="shared" ca="1" si="39"/>
        <v>Store A</v>
      </c>
      <c r="C325" t="str">
        <f t="shared" ca="1" si="40"/>
        <v>Rep I</v>
      </c>
      <c r="D325" t="str">
        <f t="shared" ca="1" si="41"/>
        <v>Product H</v>
      </c>
      <c r="E325">
        <f t="shared" ca="1" si="42"/>
        <v>25</v>
      </c>
      <c r="F325" s="2">
        <f t="shared" ca="1" si="43"/>
        <v>28.03</v>
      </c>
      <c r="G325" s="2">
        <f t="shared" ca="1" si="38"/>
        <v>700.75</v>
      </c>
    </row>
    <row r="326" spans="1:7" x14ac:dyDescent="0.25">
      <c r="A326" s="1">
        <f t="shared" ca="1" si="37"/>
        <v>45473</v>
      </c>
      <c r="B326" t="str">
        <f t="shared" ca="1" si="39"/>
        <v>Store C</v>
      </c>
      <c r="C326" t="str">
        <f t="shared" ca="1" si="40"/>
        <v>Rep I</v>
      </c>
      <c r="D326" t="str">
        <f t="shared" ca="1" si="41"/>
        <v>Product B</v>
      </c>
      <c r="E326">
        <f t="shared" ca="1" si="42"/>
        <v>27</v>
      </c>
      <c r="F326" s="2">
        <f t="shared" ca="1" si="43"/>
        <v>8.7200000000000006</v>
      </c>
      <c r="G326" s="2">
        <f t="shared" ca="1" si="38"/>
        <v>235.44000000000003</v>
      </c>
    </row>
    <row r="327" spans="1:7" x14ac:dyDescent="0.25">
      <c r="A327" s="1">
        <f t="shared" ca="1" si="37"/>
        <v>45547</v>
      </c>
      <c r="B327" t="str">
        <f t="shared" ca="1" si="39"/>
        <v>Store D</v>
      </c>
      <c r="C327" t="str">
        <f t="shared" ca="1" si="40"/>
        <v>Rep I</v>
      </c>
      <c r="D327" t="str">
        <f t="shared" ca="1" si="41"/>
        <v>Product F</v>
      </c>
      <c r="E327">
        <f t="shared" ca="1" si="42"/>
        <v>32</v>
      </c>
      <c r="F327" s="2">
        <f t="shared" ca="1" si="43"/>
        <v>3.89</v>
      </c>
      <c r="G327" s="2">
        <f t="shared" ca="1" si="38"/>
        <v>124.48</v>
      </c>
    </row>
    <row r="328" spans="1:7" x14ac:dyDescent="0.25">
      <c r="A328" s="1">
        <f t="shared" ca="1" si="37"/>
        <v>45432</v>
      </c>
      <c r="B328" t="str">
        <f t="shared" ca="1" si="39"/>
        <v>Store C</v>
      </c>
      <c r="C328" t="str">
        <f t="shared" ca="1" si="40"/>
        <v>Rep B</v>
      </c>
      <c r="D328" t="str">
        <f t="shared" ca="1" si="41"/>
        <v>Product G</v>
      </c>
      <c r="E328">
        <f t="shared" ca="1" si="42"/>
        <v>45</v>
      </c>
      <c r="F328" s="2">
        <f t="shared" ca="1" si="43"/>
        <v>3.78</v>
      </c>
      <c r="G328" s="2">
        <f t="shared" ca="1" si="38"/>
        <v>170.1</v>
      </c>
    </row>
    <row r="329" spans="1:7" x14ac:dyDescent="0.25">
      <c r="A329" s="1">
        <f t="shared" ca="1" si="37"/>
        <v>45334</v>
      </c>
      <c r="B329" t="str">
        <f t="shared" ca="1" si="39"/>
        <v>Store H</v>
      </c>
      <c r="C329" t="str">
        <f t="shared" ca="1" si="40"/>
        <v>Rep D</v>
      </c>
      <c r="D329" t="str">
        <f t="shared" ca="1" si="41"/>
        <v>Product F</v>
      </c>
      <c r="E329">
        <f t="shared" ca="1" si="42"/>
        <v>14</v>
      </c>
      <c r="F329" s="2">
        <f t="shared" ca="1" si="43"/>
        <v>23.53</v>
      </c>
      <c r="G329" s="2">
        <f t="shared" ca="1" si="38"/>
        <v>329.42</v>
      </c>
    </row>
    <row r="330" spans="1:7" x14ac:dyDescent="0.25">
      <c r="A330" s="1">
        <f t="shared" ca="1" si="37"/>
        <v>45647</v>
      </c>
      <c r="B330" t="str">
        <f t="shared" ca="1" si="39"/>
        <v>Store A</v>
      </c>
      <c r="C330" t="str">
        <f t="shared" ca="1" si="40"/>
        <v>Rep C</v>
      </c>
      <c r="D330" t="str">
        <f t="shared" ca="1" si="41"/>
        <v>Product E</v>
      </c>
      <c r="E330">
        <f t="shared" ca="1" si="42"/>
        <v>6</v>
      </c>
      <c r="F330" s="2">
        <f t="shared" ca="1" si="43"/>
        <v>28.17</v>
      </c>
      <c r="G330" s="2">
        <f t="shared" ca="1" si="38"/>
        <v>169.02</v>
      </c>
    </row>
    <row r="331" spans="1:7" x14ac:dyDescent="0.25">
      <c r="A331" s="1">
        <f t="shared" ca="1" si="37"/>
        <v>45377</v>
      </c>
      <c r="B331" t="str">
        <f t="shared" ca="1" si="39"/>
        <v>Store C</v>
      </c>
      <c r="C331" t="str">
        <f t="shared" ca="1" si="40"/>
        <v>Rep F</v>
      </c>
      <c r="D331" t="str">
        <f t="shared" ca="1" si="41"/>
        <v>Product D</v>
      </c>
      <c r="E331">
        <f t="shared" ca="1" si="42"/>
        <v>48</v>
      </c>
      <c r="F331" s="2">
        <f t="shared" ca="1" si="43"/>
        <v>7.07</v>
      </c>
      <c r="G331" s="2">
        <f t="shared" ca="1" si="38"/>
        <v>339.36</v>
      </c>
    </row>
    <row r="332" spans="1:7" x14ac:dyDescent="0.25">
      <c r="A332" s="1">
        <f t="shared" ca="1" si="37"/>
        <v>45388</v>
      </c>
      <c r="B332" t="str">
        <f t="shared" ca="1" si="39"/>
        <v>Store E</v>
      </c>
      <c r="C332" t="str">
        <f t="shared" ca="1" si="40"/>
        <v>Rep C</v>
      </c>
      <c r="D332" t="str">
        <f t="shared" ca="1" si="41"/>
        <v>Product C</v>
      </c>
      <c r="E332">
        <f t="shared" ca="1" si="42"/>
        <v>28</v>
      </c>
      <c r="F332" s="2">
        <f t="shared" ca="1" si="43"/>
        <v>21.47</v>
      </c>
      <c r="G332" s="2">
        <f t="shared" ca="1" si="38"/>
        <v>601.16</v>
      </c>
    </row>
    <row r="333" spans="1:7" x14ac:dyDescent="0.25">
      <c r="A333" s="1">
        <f t="shared" ca="1" si="37"/>
        <v>45464</v>
      </c>
      <c r="B333" t="str">
        <f t="shared" ca="1" si="39"/>
        <v>Store E</v>
      </c>
      <c r="C333" t="str">
        <f t="shared" ca="1" si="40"/>
        <v>Rep C</v>
      </c>
      <c r="D333" t="str">
        <f t="shared" ca="1" si="41"/>
        <v>Product D</v>
      </c>
      <c r="E333">
        <f t="shared" ca="1" si="42"/>
        <v>15</v>
      </c>
      <c r="F333" s="2">
        <f t="shared" ca="1" si="43"/>
        <v>21.59</v>
      </c>
      <c r="G333" s="2">
        <f t="shared" ca="1" si="38"/>
        <v>323.85000000000002</v>
      </c>
    </row>
    <row r="334" spans="1:7" x14ac:dyDescent="0.25">
      <c r="A334" s="1">
        <f t="shared" ca="1" si="37"/>
        <v>45301</v>
      </c>
      <c r="B334" t="str">
        <f t="shared" ca="1" si="39"/>
        <v>Store I</v>
      </c>
      <c r="C334" t="str">
        <f t="shared" ca="1" si="40"/>
        <v>Rep F</v>
      </c>
      <c r="D334" t="str">
        <f t="shared" ca="1" si="41"/>
        <v>Product A</v>
      </c>
      <c r="E334">
        <f t="shared" ca="1" si="42"/>
        <v>16</v>
      </c>
      <c r="F334" s="2">
        <f t="shared" ca="1" si="43"/>
        <v>26.9</v>
      </c>
      <c r="G334" s="2">
        <f t="shared" ca="1" si="38"/>
        <v>430.4</v>
      </c>
    </row>
    <row r="335" spans="1:7" x14ac:dyDescent="0.25">
      <c r="A335" s="1">
        <f t="shared" ca="1" si="37"/>
        <v>45639</v>
      </c>
      <c r="B335" t="str">
        <f t="shared" ca="1" si="39"/>
        <v>Store G</v>
      </c>
      <c r="C335" t="str">
        <f t="shared" ca="1" si="40"/>
        <v>Rep C</v>
      </c>
      <c r="D335" t="str">
        <f t="shared" ca="1" si="41"/>
        <v>Product G</v>
      </c>
      <c r="E335">
        <f t="shared" ca="1" si="42"/>
        <v>9</v>
      </c>
      <c r="F335" s="2">
        <f t="shared" ca="1" si="43"/>
        <v>13.77</v>
      </c>
      <c r="G335" s="2">
        <f t="shared" ca="1" si="38"/>
        <v>123.92999999999999</v>
      </c>
    </row>
    <row r="336" spans="1:7" x14ac:dyDescent="0.25">
      <c r="A336" s="1">
        <f t="shared" ca="1" si="37"/>
        <v>45352</v>
      </c>
      <c r="B336" t="str">
        <f t="shared" ca="1" si="39"/>
        <v>Store B</v>
      </c>
      <c r="C336" t="str">
        <f t="shared" ca="1" si="40"/>
        <v>Rep G</v>
      </c>
      <c r="D336" t="str">
        <f t="shared" ca="1" si="41"/>
        <v>Product H</v>
      </c>
      <c r="E336">
        <f t="shared" ca="1" si="42"/>
        <v>26</v>
      </c>
      <c r="F336" s="2">
        <f t="shared" ca="1" si="43"/>
        <v>10.46</v>
      </c>
      <c r="G336" s="2">
        <f t="shared" ca="1" si="38"/>
        <v>271.96000000000004</v>
      </c>
    </row>
    <row r="337" spans="1:7" x14ac:dyDescent="0.25">
      <c r="A337" s="1">
        <f t="shared" ca="1" si="37"/>
        <v>45510</v>
      </c>
      <c r="B337" t="str">
        <f t="shared" ca="1" si="39"/>
        <v>Store I</v>
      </c>
      <c r="C337" t="str">
        <f t="shared" ca="1" si="40"/>
        <v>Rep F</v>
      </c>
      <c r="D337" t="str">
        <f t="shared" ca="1" si="41"/>
        <v>Product I</v>
      </c>
      <c r="E337">
        <f t="shared" ca="1" si="42"/>
        <v>11</v>
      </c>
      <c r="F337" s="2">
        <f t="shared" ca="1" si="43"/>
        <v>14.05</v>
      </c>
      <c r="G337" s="2">
        <f t="shared" ca="1" si="38"/>
        <v>154.55000000000001</v>
      </c>
    </row>
    <row r="338" spans="1:7" x14ac:dyDescent="0.25">
      <c r="A338" s="1">
        <f t="shared" ca="1" si="37"/>
        <v>45476</v>
      </c>
      <c r="B338" t="str">
        <f t="shared" ca="1" si="39"/>
        <v>Store C</v>
      </c>
      <c r="C338" t="str">
        <f t="shared" ca="1" si="40"/>
        <v>Rep B</v>
      </c>
      <c r="D338" t="str">
        <f t="shared" ca="1" si="41"/>
        <v>Product G</v>
      </c>
      <c r="E338">
        <f t="shared" ca="1" si="42"/>
        <v>32</v>
      </c>
      <c r="F338" s="2">
        <f t="shared" ca="1" si="43"/>
        <v>2.2400000000000002</v>
      </c>
      <c r="G338" s="2">
        <f t="shared" ca="1" si="38"/>
        <v>71.680000000000007</v>
      </c>
    </row>
    <row r="339" spans="1:7" x14ac:dyDescent="0.25">
      <c r="A339" s="1">
        <f t="shared" ca="1" si="37"/>
        <v>45328</v>
      </c>
      <c r="B339" t="str">
        <f t="shared" ca="1" si="39"/>
        <v>Store D</v>
      </c>
      <c r="C339" t="str">
        <f t="shared" ca="1" si="40"/>
        <v>Rep E</v>
      </c>
      <c r="D339" t="str">
        <f t="shared" ca="1" si="41"/>
        <v>Product F</v>
      </c>
      <c r="E339">
        <f t="shared" ca="1" si="42"/>
        <v>33</v>
      </c>
      <c r="F339" s="2">
        <f t="shared" ca="1" si="43"/>
        <v>20.54</v>
      </c>
      <c r="G339" s="2">
        <f t="shared" ca="1" si="38"/>
        <v>677.81999999999994</v>
      </c>
    </row>
    <row r="340" spans="1:7" x14ac:dyDescent="0.25">
      <c r="A340" s="1">
        <f t="shared" ca="1" si="37"/>
        <v>45407</v>
      </c>
      <c r="B340" t="str">
        <f t="shared" ca="1" si="39"/>
        <v>Store I</v>
      </c>
      <c r="C340" t="str">
        <f t="shared" ca="1" si="40"/>
        <v>Rep E</v>
      </c>
      <c r="D340" t="str">
        <f t="shared" ca="1" si="41"/>
        <v>Product F</v>
      </c>
      <c r="E340">
        <f t="shared" ca="1" si="42"/>
        <v>45</v>
      </c>
      <c r="F340" s="2">
        <f t="shared" ca="1" si="43"/>
        <v>20.6</v>
      </c>
      <c r="G340" s="2">
        <f t="shared" ca="1" si="38"/>
        <v>927.00000000000011</v>
      </c>
    </row>
    <row r="341" spans="1:7" x14ac:dyDescent="0.25">
      <c r="A341" s="1">
        <f t="shared" ca="1" si="37"/>
        <v>45477</v>
      </c>
      <c r="B341" t="str">
        <f t="shared" ca="1" si="39"/>
        <v>Store G</v>
      </c>
      <c r="C341" t="str">
        <f t="shared" ca="1" si="40"/>
        <v>Rep E</v>
      </c>
      <c r="D341" t="str">
        <f t="shared" ca="1" si="41"/>
        <v>Product J</v>
      </c>
      <c r="E341">
        <f t="shared" ca="1" si="42"/>
        <v>27</v>
      </c>
      <c r="F341" s="2">
        <f t="shared" ca="1" si="43"/>
        <v>15.08</v>
      </c>
      <c r="G341" s="2">
        <f t="shared" ca="1" si="38"/>
        <v>407.16</v>
      </c>
    </row>
    <row r="342" spans="1:7" x14ac:dyDescent="0.25">
      <c r="A342" s="1">
        <f t="shared" ca="1" si="37"/>
        <v>45633</v>
      </c>
      <c r="B342" t="str">
        <f t="shared" ca="1" si="39"/>
        <v>Store J</v>
      </c>
      <c r="C342" t="str">
        <f t="shared" ca="1" si="40"/>
        <v>Rep F</v>
      </c>
      <c r="D342" t="str">
        <f t="shared" ca="1" si="41"/>
        <v>Product J</v>
      </c>
      <c r="E342">
        <f t="shared" ca="1" si="42"/>
        <v>4</v>
      </c>
      <c r="F342" s="2">
        <f t="shared" ca="1" si="43"/>
        <v>28.43</v>
      </c>
      <c r="G342" s="2">
        <f t="shared" ca="1" si="38"/>
        <v>113.72</v>
      </c>
    </row>
    <row r="343" spans="1:7" x14ac:dyDescent="0.25">
      <c r="A343" s="1">
        <f t="shared" ca="1" si="37"/>
        <v>45336</v>
      </c>
      <c r="B343" t="str">
        <f t="shared" ca="1" si="39"/>
        <v>Store B</v>
      </c>
      <c r="C343" t="str">
        <f t="shared" ca="1" si="40"/>
        <v>Rep F</v>
      </c>
      <c r="D343" t="str">
        <f t="shared" ca="1" si="41"/>
        <v>Product D</v>
      </c>
      <c r="E343">
        <f t="shared" ca="1" si="42"/>
        <v>5</v>
      </c>
      <c r="F343" s="2">
        <f t="shared" ca="1" si="43"/>
        <v>15.74</v>
      </c>
      <c r="G343" s="2">
        <f t="shared" ca="1" si="38"/>
        <v>78.7</v>
      </c>
    </row>
    <row r="344" spans="1:7" x14ac:dyDescent="0.25">
      <c r="A344" s="1">
        <f t="shared" ca="1" si="37"/>
        <v>45641</v>
      </c>
      <c r="B344" t="str">
        <f t="shared" ca="1" si="39"/>
        <v>Store I</v>
      </c>
      <c r="C344" t="str">
        <f t="shared" ca="1" si="40"/>
        <v>Rep B</v>
      </c>
      <c r="D344" t="str">
        <f t="shared" ca="1" si="41"/>
        <v>Product I</v>
      </c>
      <c r="E344">
        <f t="shared" ca="1" si="42"/>
        <v>13</v>
      </c>
      <c r="F344" s="2">
        <f t="shared" ca="1" si="43"/>
        <v>2.77</v>
      </c>
      <c r="G344" s="2">
        <f t="shared" ca="1" si="38"/>
        <v>36.01</v>
      </c>
    </row>
    <row r="345" spans="1:7" x14ac:dyDescent="0.25">
      <c r="A345" s="1">
        <f t="shared" ca="1" si="37"/>
        <v>45542</v>
      </c>
      <c r="B345" t="str">
        <f t="shared" ca="1" si="39"/>
        <v>Store I</v>
      </c>
      <c r="C345" t="str">
        <f t="shared" ca="1" si="40"/>
        <v>Rep I</v>
      </c>
      <c r="D345" t="str">
        <f t="shared" ca="1" si="41"/>
        <v>Product E</v>
      </c>
      <c r="E345">
        <f t="shared" ca="1" si="42"/>
        <v>15</v>
      </c>
      <c r="F345" s="2">
        <f t="shared" ca="1" si="43"/>
        <v>20.350000000000001</v>
      </c>
      <c r="G345" s="2">
        <f t="shared" ca="1" si="38"/>
        <v>305.25</v>
      </c>
    </row>
    <row r="346" spans="1:7" x14ac:dyDescent="0.25">
      <c r="A346" s="1">
        <f t="shared" ca="1" si="37"/>
        <v>45433</v>
      </c>
      <c r="B346" t="str">
        <f t="shared" ca="1" si="39"/>
        <v>Store D</v>
      </c>
      <c r="C346" t="str">
        <f t="shared" ca="1" si="40"/>
        <v>Rep C</v>
      </c>
      <c r="D346" t="str">
        <f t="shared" ca="1" si="41"/>
        <v>Product J</v>
      </c>
      <c r="E346">
        <f t="shared" ca="1" si="42"/>
        <v>21</v>
      </c>
      <c r="F346" s="2">
        <f t="shared" ca="1" si="43"/>
        <v>12.87</v>
      </c>
      <c r="G346" s="2">
        <f t="shared" ca="1" si="38"/>
        <v>270.27</v>
      </c>
    </row>
    <row r="347" spans="1:7" x14ac:dyDescent="0.25">
      <c r="A347" s="1">
        <f t="shared" ca="1" si="37"/>
        <v>45567</v>
      </c>
      <c r="B347" t="str">
        <f t="shared" ca="1" si="39"/>
        <v>Store G</v>
      </c>
      <c r="C347" t="str">
        <f t="shared" ca="1" si="40"/>
        <v>Rep G</v>
      </c>
      <c r="D347" t="str">
        <f t="shared" ca="1" si="41"/>
        <v>Product I</v>
      </c>
      <c r="E347">
        <f t="shared" ca="1" si="42"/>
        <v>45</v>
      </c>
      <c r="F347" s="2">
        <f t="shared" ca="1" si="43"/>
        <v>20.54</v>
      </c>
      <c r="G347" s="2">
        <f t="shared" ca="1" si="38"/>
        <v>924.3</v>
      </c>
    </row>
    <row r="348" spans="1:7" x14ac:dyDescent="0.25">
      <c r="A348" s="1">
        <f t="shared" ca="1" si="37"/>
        <v>45646</v>
      </c>
      <c r="B348" t="str">
        <f t="shared" ca="1" si="39"/>
        <v>Store A</v>
      </c>
      <c r="C348" t="str">
        <f t="shared" ca="1" si="40"/>
        <v>Rep J</v>
      </c>
      <c r="D348" t="str">
        <f t="shared" ca="1" si="41"/>
        <v>Product G</v>
      </c>
      <c r="E348">
        <f t="shared" ca="1" si="42"/>
        <v>40</v>
      </c>
      <c r="F348" s="2">
        <f t="shared" ca="1" si="43"/>
        <v>20.3</v>
      </c>
      <c r="G348" s="2">
        <f t="shared" ca="1" si="38"/>
        <v>812</v>
      </c>
    </row>
    <row r="349" spans="1:7" x14ac:dyDescent="0.25">
      <c r="A349" s="1">
        <f t="shared" ca="1" si="37"/>
        <v>45643</v>
      </c>
      <c r="B349" t="str">
        <f t="shared" ca="1" si="39"/>
        <v>Store J</v>
      </c>
      <c r="C349" t="str">
        <f t="shared" ca="1" si="40"/>
        <v>Rep D</v>
      </c>
      <c r="D349" t="str">
        <f t="shared" ca="1" si="41"/>
        <v>Product H</v>
      </c>
      <c r="E349">
        <f t="shared" ca="1" si="42"/>
        <v>7</v>
      </c>
      <c r="F349" s="2">
        <f t="shared" ca="1" si="43"/>
        <v>11.2</v>
      </c>
      <c r="G349" s="2">
        <f t="shared" ca="1" si="38"/>
        <v>78.399999999999991</v>
      </c>
    </row>
    <row r="350" spans="1:7" x14ac:dyDescent="0.25">
      <c r="A350" s="1">
        <f t="shared" ca="1" si="37"/>
        <v>45527</v>
      </c>
      <c r="B350" t="str">
        <f t="shared" ca="1" si="39"/>
        <v>Store J</v>
      </c>
      <c r="C350" t="str">
        <f t="shared" ca="1" si="40"/>
        <v>Rep H</v>
      </c>
      <c r="D350" t="str">
        <f t="shared" ca="1" si="41"/>
        <v>Product A</v>
      </c>
      <c r="E350">
        <f t="shared" ca="1" si="42"/>
        <v>6</v>
      </c>
      <c r="F350" s="2">
        <f t="shared" ca="1" si="43"/>
        <v>6.95</v>
      </c>
      <c r="G350" s="2">
        <f t="shared" ca="1" si="38"/>
        <v>41.7</v>
      </c>
    </row>
    <row r="351" spans="1:7" x14ac:dyDescent="0.25">
      <c r="A351" s="1">
        <f t="shared" ca="1" si="37"/>
        <v>45391</v>
      </c>
      <c r="B351" t="str">
        <f t="shared" ca="1" si="39"/>
        <v>Store I</v>
      </c>
      <c r="C351" t="str">
        <f t="shared" ca="1" si="40"/>
        <v>Rep J</v>
      </c>
      <c r="D351" t="str">
        <f t="shared" ca="1" si="41"/>
        <v>Product H</v>
      </c>
      <c r="E351">
        <f t="shared" ca="1" si="42"/>
        <v>26</v>
      </c>
      <c r="F351" s="2">
        <f t="shared" ca="1" si="43"/>
        <v>19.850000000000001</v>
      </c>
      <c r="G351" s="2">
        <f t="shared" ca="1" si="38"/>
        <v>516.1</v>
      </c>
    </row>
    <row r="352" spans="1:7" x14ac:dyDescent="0.25">
      <c r="A352" s="1">
        <f t="shared" ca="1" si="37"/>
        <v>45355</v>
      </c>
      <c r="B352" t="str">
        <f t="shared" ca="1" si="39"/>
        <v>Store F</v>
      </c>
      <c r="C352" t="str">
        <f t="shared" ca="1" si="40"/>
        <v>Rep H</v>
      </c>
      <c r="D352" t="str">
        <f t="shared" ca="1" si="41"/>
        <v>Product B</v>
      </c>
      <c r="E352">
        <f t="shared" ca="1" si="42"/>
        <v>10</v>
      </c>
      <c r="F352" s="2">
        <f t="shared" ca="1" si="43"/>
        <v>19.309999999999999</v>
      </c>
      <c r="G352" s="2">
        <f t="shared" ca="1" si="38"/>
        <v>193.1</v>
      </c>
    </row>
    <row r="353" spans="1:7" x14ac:dyDescent="0.25">
      <c r="A353" s="1">
        <f t="shared" ca="1" si="37"/>
        <v>45383</v>
      </c>
      <c r="B353" t="str">
        <f t="shared" ca="1" si="39"/>
        <v>Store F</v>
      </c>
      <c r="C353" t="str">
        <f t="shared" ca="1" si="40"/>
        <v>Rep A</v>
      </c>
      <c r="D353" t="str">
        <f t="shared" ca="1" si="41"/>
        <v>Product J</v>
      </c>
      <c r="E353">
        <f t="shared" ca="1" si="42"/>
        <v>5</v>
      </c>
      <c r="F353" s="2">
        <f t="shared" ca="1" si="43"/>
        <v>23.38</v>
      </c>
      <c r="G353" s="2">
        <f t="shared" ca="1" si="38"/>
        <v>116.89999999999999</v>
      </c>
    </row>
    <row r="354" spans="1:7" x14ac:dyDescent="0.25">
      <c r="A354" s="1">
        <f t="shared" ca="1" si="37"/>
        <v>45341</v>
      </c>
      <c r="B354" t="str">
        <f t="shared" ca="1" si="39"/>
        <v>Store I</v>
      </c>
      <c r="C354" t="str">
        <f t="shared" ca="1" si="40"/>
        <v>Rep B</v>
      </c>
      <c r="D354" t="str">
        <f t="shared" ca="1" si="41"/>
        <v>Product E</v>
      </c>
      <c r="E354">
        <f t="shared" ca="1" si="42"/>
        <v>31</v>
      </c>
      <c r="F354" s="2">
        <f t="shared" ca="1" si="43"/>
        <v>27.67</v>
      </c>
      <c r="G354" s="2">
        <f t="shared" ca="1" si="38"/>
        <v>857.7700000000001</v>
      </c>
    </row>
    <row r="355" spans="1:7" x14ac:dyDescent="0.25">
      <c r="A355" s="1">
        <f t="shared" ca="1" si="37"/>
        <v>45642</v>
      </c>
      <c r="B355" t="str">
        <f t="shared" ca="1" si="39"/>
        <v>Store J</v>
      </c>
      <c r="C355" t="str">
        <f t="shared" ca="1" si="40"/>
        <v>Rep H</v>
      </c>
      <c r="D355" t="str">
        <f t="shared" ca="1" si="41"/>
        <v>Product A</v>
      </c>
      <c r="E355">
        <f t="shared" ca="1" si="42"/>
        <v>2</v>
      </c>
      <c r="F355" s="2">
        <f t="shared" ca="1" si="43"/>
        <v>15.9</v>
      </c>
      <c r="G355" s="2">
        <f t="shared" ca="1" si="38"/>
        <v>31.8</v>
      </c>
    </row>
    <row r="356" spans="1:7" x14ac:dyDescent="0.25">
      <c r="A356" s="1">
        <f t="shared" ca="1" si="37"/>
        <v>45641</v>
      </c>
      <c r="B356" t="str">
        <f t="shared" ca="1" si="39"/>
        <v>Store C</v>
      </c>
      <c r="C356" t="str">
        <f t="shared" ca="1" si="40"/>
        <v>Rep B</v>
      </c>
      <c r="D356" t="str">
        <f t="shared" ca="1" si="41"/>
        <v>Product D</v>
      </c>
      <c r="E356">
        <f t="shared" ca="1" si="42"/>
        <v>13</v>
      </c>
      <c r="F356" s="2">
        <f t="shared" ca="1" si="43"/>
        <v>8.36</v>
      </c>
      <c r="G356" s="2">
        <f t="shared" ca="1" si="38"/>
        <v>108.67999999999999</v>
      </c>
    </row>
    <row r="357" spans="1:7" x14ac:dyDescent="0.25">
      <c r="A357" s="1">
        <f t="shared" ca="1" si="37"/>
        <v>45617</v>
      </c>
      <c r="B357" t="str">
        <f t="shared" ca="1" si="39"/>
        <v>Store A</v>
      </c>
      <c r="C357" t="str">
        <f t="shared" ca="1" si="40"/>
        <v>Rep F</v>
      </c>
      <c r="D357" t="str">
        <f t="shared" ca="1" si="41"/>
        <v>Product H</v>
      </c>
      <c r="E357">
        <f t="shared" ca="1" si="42"/>
        <v>36</v>
      </c>
      <c r="F357" s="2">
        <f t="shared" ca="1" si="43"/>
        <v>13.1</v>
      </c>
      <c r="G357" s="2">
        <f t="shared" ca="1" si="38"/>
        <v>471.59999999999997</v>
      </c>
    </row>
    <row r="358" spans="1:7" x14ac:dyDescent="0.25">
      <c r="A358" s="1">
        <f t="shared" ca="1" si="37"/>
        <v>45567</v>
      </c>
      <c r="B358" t="str">
        <f t="shared" ca="1" si="39"/>
        <v>Store C</v>
      </c>
      <c r="C358" t="str">
        <f t="shared" ca="1" si="40"/>
        <v>Rep F</v>
      </c>
      <c r="D358" t="str">
        <f t="shared" ca="1" si="41"/>
        <v>Product B</v>
      </c>
      <c r="E358">
        <f t="shared" ca="1" si="42"/>
        <v>36</v>
      </c>
      <c r="F358" s="2">
        <f t="shared" ca="1" si="43"/>
        <v>29.36</v>
      </c>
      <c r="G358" s="2">
        <f t="shared" ca="1" si="38"/>
        <v>1056.96</v>
      </c>
    </row>
    <row r="359" spans="1:7" x14ac:dyDescent="0.25">
      <c r="A359" s="1">
        <f t="shared" ca="1" si="37"/>
        <v>45454</v>
      </c>
      <c r="B359" t="str">
        <f t="shared" ca="1" si="39"/>
        <v>Store F</v>
      </c>
      <c r="C359" t="str">
        <f t="shared" ca="1" si="40"/>
        <v>Rep F</v>
      </c>
      <c r="D359" t="str">
        <f t="shared" ca="1" si="41"/>
        <v>Product J</v>
      </c>
      <c r="E359">
        <f t="shared" ca="1" si="42"/>
        <v>11</v>
      </c>
      <c r="F359" s="2">
        <f t="shared" ca="1" si="43"/>
        <v>4.34</v>
      </c>
      <c r="G359" s="2">
        <f t="shared" ca="1" si="38"/>
        <v>47.739999999999995</v>
      </c>
    </row>
    <row r="360" spans="1:7" x14ac:dyDescent="0.25">
      <c r="A360" s="1">
        <f t="shared" ca="1" si="37"/>
        <v>45322</v>
      </c>
      <c r="B360" t="str">
        <f t="shared" ca="1" si="39"/>
        <v>Store A</v>
      </c>
      <c r="C360" t="str">
        <f t="shared" ca="1" si="40"/>
        <v>Rep I</v>
      </c>
      <c r="D360" t="str">
        <f t="shared" ca="1" si="41"/>
        <v>Product B</v>
      </c>
      <c r="E360">
        <f t="shared" ca="1" si="42"/>
        <v>48</v>
      </c>
      <c r="F360" s="2">
        <f t="shared" ca="1" si="43"/>
        <v>5.29</v>
      </c>
      <c r="G360" s="2">
        <f t="shared" ca="1" si="38"/>
        <v>253.92000000000002</v>
      </c>
    </row>
    <row r="361" spans="1:7" x14ac:dyDescent="0.25">
      <c r="A361" s="1">
        <f t="shared" ca="1" si="37"/>
        <v>45446</v>
      </c>
      <c r="B361" t="str">
        <f t="shared" ca="1" si="39"/>
        <v>Store F</v>
      </c>
      <c r="C361" t="str">
        <f t="shared" ca="1" si="40"/>
        <v>Rep C</v>
      </c>
      <c r="D361" t="str">
        <f t="shared" ca="1" si="41"/>
        <v>Product A</v>
      </c>
      <c r="E361">
        <f t="shared" ca="1" si="42"/>
        <v>5</v>
      </c>
      <c r="F361" s="2">
        <f t="shared" ca="1" si="43"/>
        <v>12.49</v>
      </c>
      <c r="G361" s="2">
        <f t="shared" ca="1" si="38"/>
        <v>62.45</v>
      </c>
    </row>
    <row r="362" spans="1:7" x14ac:dyDescent="0.25">
      <c r="A362" s="1">
        <f t="shared" ca="1" si="37"/>
        <v>45615</v>
      </c>
      <c r="B362" t="str">
        <f t="shared" ca="1" si="39"/>
        <v>Store A</v>
      </c>
      <c r="C362" t="str">
        <f t="shared" ca="1" si="40"/>
        <v>Rep D</v>
      </c>
      <c r="D362" t="str">
        <f t="shared" ca="1" si="41"/>
        <v>Product C</v>
      </c>
      <c r="E362">
        <f t="shared" ca="1" si="42"/>
        <v>15</v>
      </c>
      <c r="F362" s="2">
        <f t="shared" ca="1" si="43"/>
        <v>17.899999999999999</v>
      </c>
      <c r="G362" s="2">
        <f t="shared" ca="1" si="38"/>
        <v>268.5</v>
      </c>
    </row>
    <row r="363" spans="1:7" x14ac:dyDescent="0.25">
      <c r="A363" s="1">
        <f t="shared" ca="1" si="37"/>
        <v>45444</v>
      </c>
      <c r="B363" t="str">
        <f t="shared" ca="1" si="39"/>
        <v>Store H</v>
      </c>
      <c r="C363" t="str">
        <f t="shared" ca="1" si="40"/>
        <v>Rep F</v>
      </c>
      <c r="D363" t="str">
        <f t="shared" ca="1" si="41"/>
        <v>Product I</v>
      </c>
      <c r="E363">
        <f t="shared" ca="1" si="42"/>
        <v>3</v>
      </c>
      <c r="F363" s="2">
        <f t="shared" ca="1" si="43"/>
        <v>12.99</v>
      </c>
      <c r="G363" s="2">
        <f t="shared" ca="1" si="38"/>
        <v>38.97</v>
      </c>
    </row>
    <row r="364" spans="1:7" x14ac:dyDescent="0.25">
      <c r="A364" s="1">
        <f t="shared" ca="1" si="37"/>
        <v>45339</v>
      </c>
      <c r="B364" t="str">
        <f t="shared" ca="1" si="39"/>
        <v>Store I</v>
      </c>
      <c r="C364" t="str">
        <f t="shared" ca="1" si="40"/>
        <v>Rep E</v>
      </c>
      <c r="D364" t="str">
        <f t="shared" ca="1" si="41"/>
        <v>Product A</v>
      </c>
      <c r="E364">
        <f t="shared" ca="1" si="42"/>
        <v>15</v>
      </c>
      <c r="F364" s="2">
        <f t="shared" ca="1" si="43"/>
        <v>23.27</v>
      </c>
      <c r="G364" s="2">
        <f t="shared" ca="1" si="38"/>
        <v>349.05</v>
      </c>
    </row>
    <row r="365" spans="1:7" x14ac:dyDescent="0.25">
      <c r="A365" s="1">
        <f t="shared" ca="1" si="37"/>
        <v>45609</v>
      </c>
      <c r="B365" t="str">
        <f t="shared" ca="1" si="39"/>
        <v>Store J</v>
      </c>
      <c r="C365" t="str">
        <f t="shared" ca="1" si="40"/>
        <v>Rep H</v>
      </c>
      <c r="D365" t="str">
        <f t="shared" ca="1" si="41"/>
        <v>Product D</v>
      </c>
      <c r="E365">
        <f t="shared" ca="1" si="42"/>
        <v>30</v>
      </c>
      <c r="F365" s="2">
        <f t="shared" ca="1" si="43"/>
        <v>21.94</v>
      </c>
      <c r="G365" s="2">
        <f t="shared" ca="1" si="38"/>
        <v>658.2</v>
      </c>
    </row>
    <row r="366" spans="1:7" x14ac:dyDescent="0.25">
      <c r="A366" s="1">
        <f t="shared" ca="1" si="37"/>
        <v>45484</v>
      </c>
      <c r="B366" t="str">
        <f t="shared" ca="1" si="39"/>
        <v>Store A</v>
      </c>
      <c r="C366" t="str">
        <f t="shared" ca="1" si="40"/>
        <v>Rep G</v>
      </c>
      <c r="D366" t="str">
        <f t="shared" ca="1" si="41"/>
        <v>Product D</v>
      </c>
      <c r="E366">
        <f t="shared" ca="1" si="42"/>
        <v>40</v>
      </c>
      <c r="F366" s="2">
        <f t="shared" ca="1" si="43"/>
        <v>26.24</v>
      </c>
      <c r="G366" s="2">
        <f t="shared" ca="1" si="38"/>
        <v>1049.5999999999999</v>
      </c>
    </row>
    <row r="367" spans="1:7" x14ac:dyDescent="0.25">
      <c r="A367" s="1">
        <f t="shared" ca="1" si="37"/>
        <v>45493</v>
      </c>
      <c r="B367" t="str">
        <f t="shared" ca="1" si="39"/>
        <v>Store D</v>
      </c>
      <c r="C367" t="str">
        <f t="shared" ca="1" si="40"/>
        <v>Rep E</v>
      </c>
      <c r="D367" t="str">
        <f t="shared" ca="1" si="41"/>
        <v>Product I</v>
      </c>
      <c r="E367">
        <f t="shared" ca="1" si="42"/>
        <v>6</v>
      </c>
      <c r="F367" s="2">
        <f t="shared" ca="1" si="43"/>
        <v>5.77</v>
      </c>
      <c r="G367" s="2">
        <f t="shared" ca="1" si="38"/>
        <v>34.619999999999997</v>
      </c>
    </row>
    <row r="368" spans="1:7" x14ac:dyDescent="0.25">
      <c r="A368" s="1">
        <f t="shared" ca="1" si="37"/>
        <v>45368</v>
      </c>
      <c r="B368" t="str">
        <f t="shared" ca="1" si="39"/>
        <v>Store G</v>
      </c>
      <c r="C368" t="str">
        <f t="shared" ca="1" si="40"/>
        <v>Rep B</v>
      </c>
      <c r="D368" t="str">
        <f t="shared" ca="1" si="41"/>
        <v>Product C</v>
      </c>
      <c r="E368">
        <f t="shared" ca="1" si="42"/>
        <v>22</v>
      </c>
      <c r="F368" s="2">
        <f t="shared" ca="1" si="43"/>
        <v>15.43</v>
      </c>
      <c r="G368" s="2">
        <f t="shared" ca="1" si="38"/>
        <v>339.46</v>
      </c>
    </row>
    <row r="369" spans="1:7" x14ac:dyDescent="0.25">
      <c r="A369" s="1">
        <f t="shared" ca="1" si="37"/>
        <v>45556</v>
      </c>
      <c r="B369" t="str">
        <f t="shared" ca="1" si="39"/>
        <v>Store C</v>
      </c>
      <c r="C369" t="str">
        <f t="shared" ca="1" si="40"/>
        <v>Rep F</v>
      </c>
      <c r="D369" t="str">
        <f t="shared" ca="1" si="41"/>
        <v>Product I</v>
      </c>
      <c r="E369">
        <f t="shared" ca="1" si="42"/>
        <v>34</v>
      </c>
      <c r="F369" s="2">
        <f t="shared" ca="1" si="43"/>
        <v>13.17</v>
      </c>
      <c r="G369" s="2">
        <f t="shared" ca="1" si="38"/>
        <v>447.78</v>
      </c>
    </row>
    <row r="370" spans="1:7" x14ac:dyDescent="0.25">
      <c r="A370" s="1">
        <f t="shared" ca="1" si="37"/>
        <v>45434</v>
      </c>
      <c r="B370" t="str">
        <f t="shared" ca="1" si="39"/>
        <v>Store I</v>
      </c>
      <c r="C370" t="str">
        <f t="shared" ca="1" si="40"/>
        <v>Rep C</v>
      </c>
      <c r="D370" t="str">
        <f t="shared" ca="1" si="41"/>
        <v>Product F</v>
      </c>
      <c r="E370">
        <f t="shared" ca="1" si="42"/>
        <v>9</v>
      </c>
      <c r="F370" s="2">
        <f t="shared" ca="1" si="43"/>
        <v>19.32</v>
      </c>
      <c r="G370" s="2">
        <f t="shared" ca="1" si="38"/>
        <v>173.88</v>
      </c>
    </row>
    <row r="371" spans="1:7" x14ac:dyDescent="0.25">
      <c r="A371" s="1">
        <f t="shared" ca="1" si="37"/>
        <v>45442</v>
      </c>
      <c r="B371" t="str">
        <f t="shared" ca="1" si="39"/>
        <v>Store H</v>
      </c>
      <c r="C371" t="str">
        <f t="shared" ca="1" si="40"/>
        <v>Rep A</v>
      </c>
      <c r="D371" t="str">
        <f t="shared" ca="1" si="41"/>
        <v>Product C</v>
      </c>
      <c r="E371">
        <f t="shared" ca="1" si="42"/>
        <v>17</v>
      </c>
      <c r="F371" s="2">
        <f t="shared" ca="1" si="43"/>
        <v>15.8</v>
      </c>
      <c r="G371" s="2">
        <f t="shared" ca="1" si="38"/>
        <v>268.60000000000002</v>
      </c>
    </row>
    <row r="372" spans="1:7" x14ac:dyDescent="0.25">
      <c r="A372" s="1">
        <f t="shared" ca="1" si="37"/>
        <v>45383</v>
      </c>
      <c r="B372" t="str">
        <f t="shared" ca="1" si="39"/>
        <v>Store J</v>
      </c>
      <c r="C372" t="str">
        <f t="shared" ca="1" si="40"/>
        <v>Rep G</v>
      </c>
      <c r="D372" t="str">
        <f t="shared" ca="1" si="41"/>
        <v>Product A</v>
      </c>
      <c r="E372">
        <f t="shared" ca="1" si="42"/>
        <v>44</v>
      </c>
      <c r="F372" s="2">
        <f t="shared" ca="1" si="43"/>
        <v>25.15</v>
      </c>
      <c r="G372" s="2">
        <f t="shared" ca="1" si="38"/>
        <v>1106.5999999999999</v>
      </c>
    </row>
    <row r="373" spans="1:7" x14ac:dyDescent="0.25">
      <c r="A373" s="1">
        <f t="shared" ca="1" si="37"/>
        <v>45446</v>
      </c>
      <c r="B373" t="str">
        <f t="shared" ca="1" si="39"/>
        <v>Store C</v>
      </c>
      <c r="C373" t="str">
        <f t="shared" ca="1" si="40"/>
        <v>Rep J</v>
      </c>
      <c r="D373" t="str">
        <f t="shared" ca="1" si="41"/>
        <v>Product F</v>
      </c>
      <c r="E373">
        <f t="shared" ca="1" si="42"/>
        <v>12</v>
      </c>
      <c r="F373" s="2">
        <f t="shared" ca="1" si="43"/>
        <v>10.199999999999999</v>
      </c>
      <c r="G373" s="2">
        <f t="shared" ca="1" si="38"/>
        <v>122.39999999999999</v>
      </c>
    </row>
    <row r="374" spans="1:7" x14ac:dyDescent="0.25">
      <c r="A374" s="1">
        <f t="shared" ca="1" si="37"/>
        <v>45630</v>
      </c>
      <c r="B374" t="str">
        <f t="shared" ca="1" si="39"/>
        <v>Store H</v>
      </c>
      <c r="C374" t="str">
        <f t="shared" ca="1" si="40"/>
        <v>Rep I</v>
      </c>
      <c r="D374" t="str">
        <f t="shared" ca="1" si="41"/>
        <v>Product E</v>
      </c>
      <c r="E374">
        <f t="shared" ca="1" si="42"/>
        <v>39</v>
      </c>
      <c r="F374" s="2">
        <f t="shared" ca="1" si="43"/>
        <v>6.03</v>
      </c>
      <c r="G374" s="2">
        <f t="shared" ca="1" si="38"/>
        <v>235.17000000000002</v>
      </c>
    </row>
    <row r="375" spans="1:7" x14ac:dyDescent="0.25">
      <c r="A375" s="1">
        <f t="shared" ca="1" si="37"/>
        <v>45364</v>
      </c>
      <c r="B375" t="str">
        <f t="shared" ca="1" si="39"/>
        <v>Store I</v>
      </c>
      <c r="C375" t="str">
        <f t="shared" ca="1" si="40"/>
        <v>Rep H</v>
      </c>
      <c r="D375" t="str">
        <f t="shared" ca="1" si="41"/>
        <v>Product A</v>
      </c>
      <c r="E375">
        <f t="shared" ca="1" si="42"/>
        <v>39</v>
      </c>
      <c r="F375" s="2">
        <f t="shared" ca="1" si="43"/>
        <v>5.04</v>
      </c>
      <c r="G375" s="2">
        <f t="shared" ca="1" si="38"/>
        <v>196.56</v>
      </c>
    </row>
    <row r="376" spans="1:7" x14ac:dyDescent="0.25">
      <c r="A376" s="1">
        <f t="shared" ca="1" si="37"/>
        <v>45498</v>
      </c>
      <c r="B376" t="str">
        <f t="shared" ca="1" si="39"/>
        <v>Store D</v>
      </c>
      <c r="C376" t="str">
        <f t="shared" ca="1" si="40"/>
        <v>Rep J</v>
      </c>
      <c r="D376" t="str">
        <f t="shared" ca="1" si="41"/>
        <v>Product F</v>
      </c>
      <c r="E376">
        <f t="shared" ca="1" si="42"/>
        <v>17</v>
      </c>
      <c r="F376" s="2">
        <f t="shared" ca="1" si="43"/>
        <v>26.65</v>
      </c>
      <c r="G376" s="2">
        <f t="shared" ca="1" si="38"/>
        <v>453.04999999999995</v>
      </c>
    </row>
    <row r="377" spans="1:7" x14ac:dyDescent="0.25">
      <c r="A377" s="1">
        <f t="shared" ca="1" si="37"/>
        <v>45566</v>
      </c>
      <c r="B377" t="str">
        <f t="shared" ca="1" si="39"/>
        <v>Store E</v>
      </c>
      <c r="C377" t="str">
        <f t="shared" ca="1" si="40"/>
        <v>Rep G</v>
      </c>
      <c r="D377" t="str">
        <f t="shared" ca="1" si="41"/>
        <v>Product C</v>
      </c>
      <c r="E377">
        <f t="shared" ca="1" si="42"/>
        <v>31</v>
      </c>
      <c r="F377" s="2">
        <f t="shared" ca="1" si="43"/>
        <v>14.06</v>
      </c>
      <c r="G377" s="2">
        <f t="shared" ca="1" si="38"/>
        <v>435.86</v>
      </c>
    </row>
    <row r="378" spans="1:7" x14ac:dyDescent="0.25">
      <c r="A378" s="1">
        <f t="shared" ca="1" si="37"/>
        <v>45361</v>
      </c>
      <c r="B378" t="str">
        <f t="shared" ca="1" si="39"/>
        <v>Store E</v>
      </c>
      <c r="C378" t="str">
        <f t="shared" ca="1" si="40"/>
        <v>Rep F</v>
      </c>
      <c r="D378" t="str">
        <f t="shared" ca="1" si="41"/>
        <v>Product I</v>
      </c>
      <c r="E378">
        <f t="shared" ca="1" si="42"/>
        <v>21</v>
      </c>
      <c r="F378" s="2">
        <f t="shared" ca="1" si="43"/>
        <v>14.24</v>
      </c>
      <c r="G378" s="2">
        <f t="shared" ca="1" si="38"/>
        <v>299.04000000000002</v>
      </c>
    </row>
    <row r="379" spans="1:7" x14ac:dyDescent="0.25">
      <c r="A379" s="1">
        <f t="shared" ca="1" si="37"/>
        <v>45516</v>
      </c>
      <c r="B379" t="str">
        <f t="shared" ca="1" si="39"/>
        <v>Store F</v>
      </c>
      <c r="C379" t="str">
        <f t="shared" ca="1" si="40"/>
        <v>Rep G</v>
      </c>
      <c r="D379" t="str">
        <f t="shared" ca="1" si="41"/>
        <v>Product I</v>
      </c>
      <c r="E379">
        <f t="shared" ca="1" si="42"/>
        <v>44</v>
      </c>
      <c r="F379" s="2">
        <f t="shared" ca="1" si="43"/>
        <v>5.0999999999999996</v>
      </c>
      <c r="G379" s="2">
        <f t="shared" ca="1" si="38"/>
        <v>224.39999999999998</v>
      </c>
    </row>
    <row r="380" spans="1:7" x14ac:dyDescent="0.25">
      <c r="A380" s="1">
        <f t="shared" ca="1" si="37"/>
        <v>45459</v>
      </c>
      <c r="B380" t="str">
        <f t="shared" ca="1" si="39"/>
        <v>Store H</v>
      </c>
      <c r="C380" t="str">
        <f t="shared" ca="1" si="40"/>
        <v>Rep I</v>
      </c>
      <c r="D380" t="str">
        <f t="shared" ca="1" si="41"/>
        <v>Product H</v>
      </c>
      <c r="E380">
        <f t="shared" ca="1" si="42"/>
        <v>37</v>
      </c>
      <c r="F380" s="2">
        <f t="shared" ca="1" si="43"/>
        <v>6.97</v>
      </c>
      <c r="G380" s="2">
        <f t="shared" ca="1" si="38"/>
        <v>257.89</v>
      </c>
    </row>
    <row r="381" spans="1:7" x14ac:dyDescent="0.25">
      <c r="A381" s="1">
        <f t="shared" ref="A381:A429" ca="1" si="44">RANDBETWEEN(DATE(2024,1,1),DATE(2024,12,31))</f>
        <v>45435</v>
      </c>
      <c r="B381" t="str">
        <f t="shared" ca="1" si="39"/>
        <v>Store E</v>
      </c>
      <c r="C381" t="str">
        <f t="shared" ca="1" si="40"/>
        <v>Rep J</v>
      </c>
      <c r="D381" t="str">
        <f t="shared" ca="1" si="41"/>
        <v>Product G</v>
      </c>
      <c r="E381">
        <f t="shared" ca="1" si="42"/>
        <v>43</v>
      </c>
      <c r="F381" s="2">
        <f t="shared" ca="1" si="43"/>
        <v>16.25</v>
      </c>
      <c r="G381" s="2">
        <f t="shared" ca="1" si="38"/>
        <v>698.75</v>
      </c>
    </row>
    <row r="382" spans="1:7" x14ac:dyDescent="0.25">
      <c r="A382" s="1">
        <f t="shared" ca="1" si="44"/>
        <v>45384</v>
      </c>
      <c r="B382" t="str">
        <f t="shared" ca="1" si="39"/>
        <v>Store J</v>
      </c>
      <c r="C382" t="str">
        <f t="shared" ca="1" si="40"/>
        <v>Rep J</v>
      </c>
      <c r="D382" t="str">
        <f t="shared" ca="1" si="41"/>
        <v>Product E</v>
      </c>
      <c r="E382">
        <f t="shared" ca="1" si="42"/>
        <v>5</v>
      </c>
      <c r="F382" s="2">
        <f t="shared" ca="1" si="43"/>
        <v>28.12</v>
      </c>
      <c r="G382" s="2">
        <f t="shared" ca="1" si="38"/>
        <v>140.6</v>
      </c>
    </row>
    <row r="383" spans="1:7" x14ac:dyDescent="0.25">
      <c r="A383" s="1">
        <f t="shared" ca="1" si="44"/>
        <v>45578</v>
      </c>
      <c r="B383" t="str">
        <f t="shared" ca="1" si="39"/>
        <v>Store H</v>
      </c>
      <c r="C383" t="str">
        <f t="shared" ca="1" si="40"/>
        <v>Rep A</v>
      </c>
      <c r="D383" t="str">
        <f t="shared" ca="1" si="41"/>
        <v>Product A</v>
      </c>
      <c r="E383">
        <f t="shared" ca="1" si="42"/>
        <v>40</v>
      </c>
      <c r="F383" s="2">
        <f t="shared" ca="1" si="43"/>
        <v>8.1300000000000008</v>
      </c>
      <c r="G383" s="2">
        <f t="shared" ca="1" si="38"/>
        <v>325.20000000000005</v>
      </c>
    </row>
    <row r="384" spans="1:7" x14ac:dyDescent="0.25">
      <c r="A384" s="1">
        <f t="shared" ca="1" si="44"/>
        <v>45523</v>
      </c>
      <c r="B384" t="str">
        <f t="shared" ca="1" si="39"/>
        <v>Store B</v>
      </c>
      <c r="C384" t="str">
        <f t="shared" ca="1" si="40"/>
        <v>Rep C</v>
      </c>
      <c r="D384" t="str">
        <f t="shared" ca="1" si="41"/>
        <v>Product H</v>
      </c>
      <c r="E384">
        <f t="shared" ca="1" si="42"/>
        <v>24</v>
      </c>
      <c r="F384" s="2">
        <f t="shared" ca="1" si="43"/>
        <v>19.39</v>
      </c>
      <c r="G384" s="2">
        <f t="shared" ca="1" si="38"/>
        <v>465.36</v>
      </c>
    </row>
    <row r="385" spans="1:7" x14ac:dyDescent="0.25">
      <c r="A385" s="1">
        <f t="shared" ca="1" si="44"/>
        <v>45359</v>
      </c>
      <c r="B385" t="str">
        <f t="shared" ca="1" si="39"/>
        <v>Store B</v>
      </c>
      <c r="C385" t="str">
        <f t="shared" ca="1" si="40"/>
        <v>Rep D</v>
      </c>
      <c r="D385" t="str">
        <f t="shared" ca="1" si="41"/>
        <v>Product F</v>
      </c>
      <c r="E385">
        <f t="shared" ca="1" si="42"/>
        <v>26</v>
      </c>
      <c r="F385" s="2">
        <f t="shared" ca="1" si="43"/>
        <v>15.64</v>
      </c>
      <c r="G385" s="2">
        <f t="shared" ca="1" si="38"/>
        <v>406.64</v>
      </c>
    </row>
    <row r="386" spans="1:7" x14ac:dyDescent="0.25">
      <c r="A386" s="1">
        <f t="shared" ca="1" si="44"/>
        <v>45324</v>
      </c>
      <c r="B386" t="str">
        <f t="shared" ca="1" si="39"/>
        <v>Store J</v>
      </c>
      <c r="C386" t="str">
        <f t="shared" ca="1" si="40"/>
        <v>Rep B</v>
      </c>
      <c r="D386" t="str">
        <f t="shared" ca="1" si="41"/>
        <v>Product I</v>
      </c>
      <c r="E386">
        <f t="shared" ca="1" si="42"/>
        <v>43</v>
      </c>
      <c r="F386" s="2">
        <f t="shared" ca="1" si="43"/>
        <v>6.26</v>
      </c>
      <c r="G386" s="2">
        <f t="shared" ref="G386:G449" ca="1" si="45">E386*F386</f>
        <v>269.18</v>
      </c>
    </row>
    <row r="387" spans="1:7" x14ac:dyDescent="0.25">
      <c r="A387" s="1">
        <f t="shared" ca="1" si="44"/>
        <v>45517</v>
      </c>
      <c r="B387" t="str">
        <f t="shared" ref="B387:B450" ca="1" si="46">CHOOSE(RANDBETWEEN(1,10),"Store A","Store B","Store C","Store D","Store E","Store F","Store G","Store H","Store I","Store J")</f>
        <v>Store A</v>
      </c>
      <c r="C387" t="str">
        <f t="shared" ref="C387:C450" ca="1" si="47">CHOOSE(RANDBETWEEN(1,10),"Rep A","Rep B","Rep C","Rep D","Rep E","Rep F","Rep G","Rep H","Rep I","Rep J")</f>
        <v>Rep C</v>
      </c>
      <c r="D387" t="str">
        <f t="shared" ref="D387:D450" ca="1" si="48">CHOOSE(RANDBETWEEN(1,10),"Product A","Product B","Product C","Product D","Product E","Product F","Product G","Product H","Product I","Product J")</f>
        <v>Product I</v>
      </c>
      <c r="E387">
        <f t="shared" ref="E387:E450" ca="1" si="49">RANDBETWEEN(1,50)</f>
        <v>6</v>
      </c>
      <c r="F387" s="2">
        <f t="shared" ref="F387:F450" ca="1" si="50">ROUND(2+28*RAND(),2)</f>
        <v>10.85</v>
      </c>
      <c r="G387" s="2">
        <f t="shared" ca="1" si="45"/>
        <v>65.099999999999994</v>
      </c>
    </row>
    <row r="388" spans="1:7" x14ac:dyDescent="0.25">
      <c r="A388" s="1">
        <f t="shared" ca="1" si="44"/>
        <v>45572</v>
      </c>
      <c r="B388" t="str">
        <f t="shared" ca="1" si="46"/>
        <v>Store A</v>
      </c>
      <c r="C388" t="str">
        <f t="shared" ca="1" si="47"/>
        <v>Rep F</v>
      </c>
      <c r="D388" t="str">
        <f t="shared" ca="1" si="48"/>
        <v>Product J</v>
      </c>
      <c r="E388">
        <f t="shared" ca="1" si="49"/>
        <v>48</v>
      </c>
      <c r="F388" s="2">
        <f t="shared" ca="1" si="50"/>
        <v>27.98</v>
      </c>
      <c r="G388" s="2">
        <f t="shared" ca="1" si="45"/>
        <v>1343.04</v>
      </c>
    </row>
    <row r="389" spans="1:7" x14ac:dyDescent="0.25">
      <c r="A389" s="1">
        <f t="shared" ca="1" si="44"/>
        <v>45585</v>
      </c>
      <c r="B389" t="str">
        <f t="shared" ca="1" si="46"/>
        <v>Store H</v>
      </c>
      <c r="C389" t="str">
        <f t="shared" ca="1" si="47"/>
        <v>Rep G</v>
      </c>
      <c r="D389" t="str">
        <f t="shared" ca="1" si="48"/>
        <v>Product G</v>
      </c>
      <c r="E389">
        <f t="shared" ca="1" si="49"/>
        <v>17</v>
      </c>
      <c r="F389" s="2">
        <f t="shared" ca="1" si="50"/>
        <v>11.69</v>
      </c>
      <c r="G389" s="2">
        <f t="shared" ca="1" si="45"/>
        <v>198.73</v>
      </c>
    </row>
    <row r="390" spans="1:7" x14ac:dyDescent="0.25">
      <c r="A390" s="1">
        <f t="shared" ca="1" si="44"/>
        <v>45455</v>
      </c>
      <c r="B390" t="str">
        <f t="shared" ca="1" si="46"/>
        <v>Store J</v>
      </c>
      <c r="C390" t="str">
        <f t="shared" ca="1" si="47"/>
        <v>Rep A</v>
      </c>
      <c r="D390" t="str">
        <f t="shared" ca="1" si="48"/>
        <v>Product A</v>
      </c>
      <c r="E390">
        <f t="shared" ca="1" si="49"/>
        <v>8</v>
      </c>
      <c r="F390" s="2">
        <f t="shared" ca="1" si="50"/>
        <v>23.39</v>
      </c>
      <c r="G390" s="2">
        <f t="shared" ca="1" si="45"/>
        <v>187.12</v>
      </c>
    </row>
    <row r="391" spans="1:7" x14ac:dyDescent="0.25">
      <c r="A391" s="1">
        <f t="shared" ca="1" si="44"/>
        <v>45607</v>
      </c>
      <c r="B391" t="str">
        <f t="shared" ca="1" si="46"/>
        <v>Store I</v>
      </c>
      <c r="C391" t="str">
        <f t="shared" ca="1" si="47"/>
        <v>Rep J</v>
      </c>
      <c r="D391" t="str">
        <f t="shared" ca="1" si="48"/>
        <v>Product B</v>
      </c>
      <c r="E391">
        <f t="shared" ca="1" si="49"/>
        <v>26</v>
      </c>
      <c r="F391" s="2">
        <f t="shared" ca="1" si="50"/>
        <v>6.85</v>
      </c>
      <c r="G391" s="2">
        <f t="shared" ca="1" si="45"/>
        <v>178.1</v>
      </c>
    </row>
    <row r="392" spans="1:7" x14ac:dyDescent="0.25">
      <c r="A392" s="1">
        <f t="shared" ca="1" si="44"/>
        <v>45639</v>
      </c>
      <c r="B392" t="str">
        <f t="shared" ca="1" si="46"/>
        <v>Store A</v>
      </c>
      <c r="C392" t="str">
        <f t="shared" ca="1" si="47"/>
        <v>Rep G</v>
      </c>
      <c r="D392" t="str">
        <f t="shared" ca="1" si="48"/>
        <v>Product I</v>
      </c>
      <c r="E392">
        <f t="shared" ca="1" si="49"/>
        <v>6</v>
      </c>
      <c r="F392" s="2">
        <f t="shared" ca="1" si="50"/>
        <v>26.43</v>
      </c>
      <c r="G392" s="2">
        <f t="shared" ca="1" si="45"/>
        <v>158.57999999999998</v>
      </c>
    </row>
    <row r="393" spans="1:7" x14ac:dyDescent="0.25">
      <c r="A393" s="1">
        <f t="shared" ca="1" si="44"/>
        <v>45435</v>
      </c>
      <c r="B393" t="str">
        <f t="shared" ca="1" si="46"/>
        <v>Store H</v>
      </c>
      <c r="C393" t="str">
        <f t="shared" ca="1" si="47"/>
        <v>Rep D</v>
      </c>
      <c r="D393" t="str">
        <f t="shared" ca="1" si="48"/>
        <v>Product J</v>
      </c>
      <c r="E393">
        <f t="shared" ca="1" si="49"/>
        <v>24</v>
      </c>
      <c r="F393" s="2">
        <f t="shared" ca="1" si="50"/>
        <v>17.329999999999998</v>
      </c>
      <c r="G393" s="2">
        <f t="shared" ca="1" si="45"/>
        <v>415.91999999999996</v>
      </c>
    </row>
    <row r="394" spans="1:7" x14ac:dyDescent="0.25">
      <c r="A394" s="1">
        <f t="shared" ca="1" si="44"/>
        <v>45577</v>
      </c>
      <c r="B394" t="str">
        <f t="shared" ca="1" si="46"/>
        <v>Store A</v>
      </c>
      <c r="C394" t="str">
        <f t="shared" ca="1" si="47"/>
        <v>Rep C</v>
      </c>
      <c r="D394" t="str">
        <f t="shared" ca="1" si="48"/>
        <v>Product H</v>
      </c>
      <c r="E394">
        <f t="shared" ca="1" si="49"/>
        <v>30</v>
      </c>
      <c r="F394" s="2">
        <f t="shared" ca="1" si="50"/>
        <v>4.63</v>
      </c>
      <c r="G394" s="2">
        <f t="shared" ca="1" si="45"/>
        <v>138.9</v>
      </c>
    </row>
    <row r="395" spans="1:7" x14ac:dyDescent="0.25">
      <c r="A395" s="1">
        <f t="shared" ca="1" si="44"/>
        <v>45505</v>
      </c>
      <c r="B395" t="str">
        <f t="shared" ca="1" si="46"/>
        <v>Store I</v>
      </c>
      <c r="C395" t="str">
        <f t="shared" ca="1" si="47"/>
        <v>Rep B</v>
      </c>
      <c r="D395" t="str">
        <f t="shared" ca="1" si="48"/>
        <v>Product C</v>
      </c>
      <c r="E395">
        <f t="shared" ca="1" si="49"/>
        <v>36</v>
      </c>
      <c r="F395" s="2">
        <f t="shared" ca="1" si="50"/>
        <v>2.75</v>
      </c>
      <c r="G395" s="2">
        <f t="shared" ca="1" si="45"/>
        <v>99</v>
      </c>
    </row>
    <row r="396" spans="1:7" x14ac:dyDescent="0.25">
      <c r="A396" s="1">
        <f t="shared" ca="1" si="44"/>
        <v>45643</v>
      </c>
      <c r="B396" t="str">
        <f t="shared" ca="1" si="46"/>
        <v>Store E</v>
      </c>
      <c r="C396" t="str">
        <f t="shared" ca="1" si="47"/>
        <v>Rep G</v>
      </c>
      <c r="D396" t="str">
        <f t="shared" ca="1" si="48"/>
        <v>Product J</v>
      </c>
      <c r="E396">
        <f t="shared" ca="1" si="49"/>
        <v>30</v>
      </c>
      <c r="F396" s="2">
        <f t="shared" ca="1" si="50"/>
        <v>11.79</v>
      </c>
      <c r="G396" s="2">
        <f t="shared" ca="1" si="45"/>
        <v>353.7</v>
      </c>
    </row>
    <row r="397" spans="1:7" x14ac:dyDescent="0.25">
      <c r="A397" s="1">
        <f t="shared" ca="1" si="44"/>
        <v>45581</v>
      </c>
      <c r="B397" t="str">
        <f t="shared" ca="1" si="46"/>
        <v>Store B</v>
      </c>
      <c r="C397" t="str">
        <f t="shared" ca="1" si="47"/>
        <v>Rep D</v>
      </c>
      <c r="D397" t="str">
        <f t="shared" ca="1" si="48"/>
        <v>Product H</v>
      </c>
      <c r="E397">
        <f t="shared" ca="1" si="49"/>
        <v>13</v>
      </c>
      <c r="F397" s="2">
        <f t="shared" ca="1" si="50"/>
        <v>19.71</v>
      </c>
      <c r="G397" s="2">
        <f t="shared" ca="1" si="45"/>
        <v>256.23</v>
      </c>
    </row>
    <row r="398" spans="1:7" x14ac:dyDescent="0.25">
      <c r="A398" s="1">
        <f t="shared" ca="1" si="44"/>
        <v>45487</v>
      </c>
      <c r="B398" t="str">
        <f t="shared" ca="1" si="46"/>
        <v>Store I</v>
      </c>
      <c r="C398" t="str">
        <f t="shared" ca="1" si="47"/>
        <v>Rep I</v>
      </c>
      <c r="D398" t="str">
        <f t="shared" ca="1" si="48"/>
        <v>Product E</v>
      </c>
      <c r="E398">
        <f t="shared" ca="1" si="49"/>
        <v>18</v>
      </c>
      <c r="F398" s="2">
        <f t="shared" ca="1" si="50"/>
        <v>19.05</v>
      </c>
      <c r="G398" s="2">
        <f t="shared" ca="1" si="45"/>
        <v>342.90000000000003</v>
      </c>
    </row>
    <row r="399" spans="1:7" x14ac:dyDescent="0.25">
      <c r="A399" s="1">
        <f t="shared" ca="1" si="44"/>
        <v>45322</v>
      </c>
      <c r="B399" t="str">
        <f t="shared" ca="1" si="46"/>
        <v>Store F</v>
      </c>
      <c r="C399" t="str">
        <f t="shared" ca="1" si="47"/>
        <v>Rep E</v>
      </c>
      <c r="D399" t="str">
        <f t="shared" ca="1" si="48"/>
        <v>Product E</v>
      </c>
      <c r="E399">
        <f t="shared" ca="1" si="49"/>
        <v>22</v>
      </c>
      <c r="F399" s="2">
        <f t="shared" ca="1" si="50"/>
        <v>10.69</v>
      </c>
      <c r="G399" s="2">
        <f t="shared" ca="1" si="45"/>
        <v>235.17999999999998</v>
      </c>
    </row>
    <row r="400" spans="1:7" x14ac:dyDescent="0.25">
      <c r="A400" s="1">
        <f t="shared" ca="1" si="44"/>
        <v>45438</v>
      </c>
      <c r="B400" t="str">
        <f t="shared" ca="1" si="46"/>
        <v>Store I</v>
      </c>
      <c r="C400" t="str">
        <f t="shared" ca="1" si="47"/>
        <v>Rep I</v>
      </c>
      <c r="D400" t="str">
        <f t="shared" ca="1" si="48"/>
        <v>Product A</v>
      </c>
      <c r="E400">
        <f t="shared" ca="1" si="49"/>
        <v>3</v>
      </c>
      <c r="F400" s="2">
        <f t="shared" ca="1" si="50"/>
        <v>6.36</v>
      </c>
      <c r="G400" s="2">
        <f t="shared" ca="1" si="45"/>
        <v>19.080000000000002</v>
      </c>
    </row>
    <row r="401" spans="1:7" x14ac:dyDescent="0.25">
      <c r="A401" s="1">
        <f t="shared" ca="1" si="44"/>
        <v>45294</v>
      </c>
      <c r="B401" t="str">
        <f t="shared" ca="1" si="46"/>
        <v>Store D</v>
      </c>
      <c r="C401" t="str">
        <f t="shared" ca="1" si="47"/>
        <v>Rep I</v>
      </c>
      <c r="D401" t="str">
        <f t="shared" ca="1" si="48"/>
        <v>Product B</v>
      </c>
      <c r="E401">
        <f t="shared" ca="1" si="49"/>
        <v>21</v>
      </c>
      <c r="F401" s="2">
        <f t="shared" ca="1" si="50"/>
        <v>19.95</v>
      </c>
      <c r="G401" s="2">
        <f t="shared" ca="1" si="45"/>
        <v>418.95</v>
      </c>
    </row>
    <row r="402" spans="1:7" x14ac:dyDescent="0.25">
      <c r="A402" s="1">
        <f t="shared" ca="1" si="44"/>
        <v>45481</v>
      </c>
      <c r="B402" t="str">
        <f t="shared" ca="1" si="46"/>
        <v>Store F</v>
      </c>
      <c r="C402" t="str">
        <f t="shared" ca="1" si="47"/>
        <v>Rep G</v>
      </c>
      <c r="D402" t="str">
        <f t="shared" ca="1" si="48"/>
        <v>Product B</v>
      </c>
      <c r="E402">
        <f t="shared" ca="1" si="49"/>
        <v>34</v>
      </c>
      <c r="F402" s="2">
        <f t="shared" ca="1" si="50"/>
        <v>7.89</v>
      </c>
      <c r="G402" s="2">
        <f t="shared" ca="1" si="45"/>
        <v>268.26</v>
      </c>
    </row>
    <row r="403" spans="1:7" x14ac:dyDescent="0.25">
      <c r="A403" s="1">
        <f t="shared" ca="1" si="44"/>
        <v>45321</v>
      </c>
      <c r="B403" t="str">
        <f t="shared" ca="1" si="46"/>
        <v>Store H</v>
      </c>
      <c r="C403" t="str">
        <f t="shared" ca="1" si="47"/>
        <v>Rep I</v>
      </c>
      <c r="D403" t="str">
        <f t="shared" ca="1" si="48"/>
        <v>Product D</v>
      </c>
      <c r="E403">
        <f t="shared" ca="1" si="49"/>
        <v>15</v>
      </c>
      <c r="F403" s="2">
        <f t="shared" ca="1" si="50"/>
        <v>16.12</v>
      </c>
      <c r="G403" s="2">
        <f t="shared" ca="1" si="45"/>
        <v>241.8</v>
      </c>
    </row>
    <row r="404" spans="1:7" x14ac:dyDescent="0.25">
      <c r="A404" s="1">
        <f t="shared" ca="1" si="44"/>
        <v>45619</v>
      </c>
      <c r="B404" t="str">
        <f t="shared" ca="1" si="46"/>
        <v>Store I</v>
      </c>
      <c r="C404" t="str">
        <f t="shared" ca="1" si="47"/>
        <v>Rep B</v>
      </c>
      <c r="D404" t="str">
        <f t="shared" ca="1" si="48"/>
        <v>Product D</v>
      </c>
      <c r="E404">
        <f t="shared" ca="1" si="49"/>
        <v>41</v>
      </c>
      <c r="F404" s="2">
        <f t="shared" ca="1" si="50"/>
        <v>3.59</v>
      </c>
      <c r="G404" s="2">
        <f t="shared" ca="1" si="45"/>
        <v>147.19</v>
      </c>
    </row>
    <row r="405" spans="1:7" x14ac:dyDescent="0.25">
      <c r="A405" s="1">
        <f t="shared" ca="1" si="44"/>
        <v>45468</v>
      </c>
      <c r="B405" t="str">
        <f t="shared" ca="1" si="46"/>
        <v>Store D</v>
      </c>
      <c r="C405" t="str">
        <f t="shared" ca="1" si="47"/>
        <v>Rep D</v>
      </c>
      <c r="D405" t="str">
        <f t="shared" ca="1" si="48"/>
        <v>Product D</v>
      </c>
      <c r="E405">
        <f t="shared" ca="1" si="49"/>
        <v>39</v>
      </c>
      <c r="F405" s="2">
        <f t="shared" ca="1" si="50"/>
        <v>11.02</v>
      </c>
      <c r="G405" s="2">
        <f t="shared" ca="1" si="45"/>
        <v>429.78</v>
      </c>
    </row>
    <row r="406" spans="1:7" x14ac:dyDescent="0.25">
      <c r="A406" s="1">
        <f t="shared" ca="1" si="44"/>
        <v>45586</v>
      </c>
      <c r="B406" t="str">
        <f t="shared" ca="1" si="46"/>
        <v>Store J</v>
      </c>
      <c r="C406" t="str">
        <f t="shared" ca="1" si="47"/>
        <v>Rep J</v>
      </c>
      <c r="D406" t="str">
        <f t="shared" ca="1" si="48"/>
        <v>Product C</v>
      </c>
      <c r="E406">
        <f t="shared" ca="1" si="49"/>
        <v>10</v>
      </c>
      <c r="F406" s="2">
        <f t="shared" ca="1" si="50"/>
        <v>10.26</v>
      </c>
      <c r="G406" s="2">
        <f t="shared" ca="1" si="45"/>
        <v>102.6</v>
      </c>
    </row>
    <row r="407" spans="1:7" x14ac:dyDescent="0.25">
      <c r="A407" s="1">
        <f t="shared" ca="1" si="44"/>
        <v>45380</v>
      </c>
      <c r="B407" t="str">
        <f t="shared" ca="1" si="46"/>
        <v>Store D</v>
      </c>
      <c r="C407" t="str">
        <f t="shared" ca="1" si="47"/>
        <v>Rep C</v>
      </c>
      <c r="D407" t="str">
        <f t="shared" ca="1" si="48"/>
        <v>Product C</v>
      </c>
      <c r="E407">
        <f t="shared" ca="1" si="49"/>
        <v>44</v>
      </c>
      <c r="F407" s="2">
        <f t="shared" ca="1" si="50"/>
        <v>13.46</v>
      </c>
      <c r="G407" s="2">
        <f t="shared" ca="1" si="45"/>
        <v>592.24</v>
      </c>
    </row>
    <row r="408" spans="1:7" x14ac:dyDescent="0.25">
      <c r="A408" s="1">
        <f t="shared" ca="1" si="44"/>
        <v>45625</v>
      </c>
      <c r="B408" t="str">
        <f t="shared" ca="1" si="46"/>
        <v>Store F</v>
      </c>
      <c r="C408" t="str">
        <f t="shared" ca="1" si="47"/>
        <v>Rep I</v>
      </c>
      <c r="D408" t="str">
        <f t="shared" ca="1" si="48"/>
        <v>Product E</v>
      </c>
      <c r="E408">
        <f t="shared" ca="1" si="49"/>
        <v>9</v>
      </c>
      <c r="F408" s="2">
        <f t="shared" ca="1" si="50"/>
        <v>3.57</v>
      </c>
      <c r="G408" s="2">
        <f t="shared" ca="1" si="45"/>
        <v>32.129999999999995</v>
      </c>
    </row>
    <row r="409" spans="1:7" x14ac:dyDescent="0.25">
      <c r="A409" s="1">
        <f t="shared" ca="1" si="44"/>
        <v>45342</v>
      </c>
      <c r="B409" t="str">
        <f t="shared" ca="1" si="46"/>
        <v>Store A</v>
      </c>
      <c r="C409" t="str">
        <f t="shared" ca="1" si="47"/>
        <v>Rep C</v>
      </c>
      <c r="D409" t="str">
        <f t="shared" ca="1" si="48"/>
        <v>Product F</v>
      </c>
      <c r="E409">
        <f t="shared" ca="1" si="49"/>
        <v>45</v>
      </c>
      <c r="F409" s="2">
        <f t="shared" ca="1" si="50"/>
        <v>18.100000000000001</v>
      </c>
      <c r="G409" s="2">
        <f t="shared" ca="1" si="45"/>
        <v>814.50000000000011</v>
      </c>
    </row>
    <row r="410" spans="1:7" x14ac:dyDescent="0.25">
      <c r="A410" s="1">
        <f t="shared" ca="1" si="44"/>
        <v>45579</v>
      </c>
      <c r="B410" t="str">
        <f t="shared" ca="1" si="46"/>
        <v>Store G</v>
      </c>
      <c r="C410" t="str">
        <f t="shared" ca="1" si="47"/>
        <v>Rep A</v>
      </c>
      <c r="D410" t="str">
        <f t="shared" ca="1" si="48"/>
        <v>Product E</v>
      </c>
      <c r="E410">
        <f t="shared" ca="1" si="49"/>
        <v>24</v>
      </c>
      <c r="F410" s="2">
        <f t="shared" ca="1" si="50"/>
        <v>29.57</v>
      </c>
      <c r="G410" s="2">
        <f t="shared" ca="1" si="45"/>
        <v>709.68000000000006</v>
      </c>
    </row>
    <row r="411" spans="1:7" x14ac:dyDescent="0.25">
      <c r="A411" s="1">
        <f t="shared" ca="1" si="44"/>
        <v>45609</v>
      </c>
      <c r="B411" t="str">
        <f t="shared" ca="1" si="46"/>
        <v>Store D</v>
      </c>
      <c r="C411" t="str">
        <f t="shared" ca="1" si="47"/>
        <v>Rep B</v>
      </c>
      <c r="D411" t="str">
        <f t="shared" ca="1" si="48"/>
        <v>Product F</v>
      </c>
      <c r="E411">
        <f t="shared" ca="1" si="49"/>
        <v>25</v>
      </c>
      <c r="F411" s="2">
        <f t="shared" ca="1" si="50"/>
        <v>23.75</v>
      </c>
      <c r="G411" s="2">
        <f t="shared" ca="1" si="45"/>
        <v>593.75</v>
      </c>
    </row>
    <row r="412" spans="1:7" x14ac:dyDescent="0.25">
      <c r="A412" s="1">
        <f t="shared" ca="1" si="44"/>
        <v>45386</v>
      </c>
      <c r="B412" t="str">
        <f t="shared" ca="1" si="46"/>
        <v>Store B</v>
      </c>
      <c r="C412" t="str">
        <f t="shared" ca="1" si="47"/>
        <v>Rep I</v>
      </c>
      <c r="D412" t="str">
        <f t="shared" ca="1" si="48"/>
        <v>Product F</v>
      </c>
      <c r="E412">
        <f t="shared" ca="1" si="49"/>
        <v>1</v>
      </c>
      <c r="F412" s="2">
        <f t="shared" ca="1" si="50"/>
        <v>6.37</v>
      </c>
      <c r="G412" s="2">
        <f t="shared" ca="1" si="45"/>
        <v>6.37</v>
      </c>
    </row>
    <row r="413" spans="1:7" x14ac:dyDescent="0.25">
      <c r="A413" s="1">
        <f t="shared" ca="1" si="44"/>
        <v>45510</v>
      </c>
      <c r="B413" t="str">
        <f t="shared" ca="1" si="46"/>
        <v>Store E</v>
      </c>
      <c r="C413" t="str">
        <f t="shared" ca="1" si="47"/>
        <v>Rep C</v>
      </c>
      <c r="D413" t="str">
        <f t="shared" ca="1" si="48"/>
        <v>Product I</v>
      </c>
      <c r="E413">
        <f t="shared" ca="1" si="49"/>
        <v>22</v>
      </c>
      <c r="F413" s="2">
        <f t="shared" ca="1" si="50"/>
        <v>27.37</v>
      </c>
      <c r="G413" s="2">
        <f t="shared" ca="1" si="45"/>
        <v>602.14</v>
      </c>
    </row>
    <row r="414" spans="1:7" x14ac:dyDescent="0.25">
      <c r="A414" s="1">
        <f t="shared" ca="1" si="44"/>
        <v>45599</v>
      </c>
      <c r="B414" t="str">
        <f t="shared" ca="1" si="46"/>
        <v>Store C</v>
      </c>
      <c r="C414" t="str">
        <f t="shared" ca="1" si="47"/>
        <v>Rep A</v>
      </c>
      <c r="D414" t="str">
        <f t="shared" ca="1" si="48"/>
        <v>Product H</v>
      </c>
      <c r="E414">
        <f t="shared" ca="1" si="49"/>
        <v>16</v>
      </c>
      <c r="F414" s="2">
        <f t="shared" ca="1" si="50"/>
        <v>29.65</v>
      </c>
      <c r="G414" s="2">
        <f t="shared" ca="1" si="45"/>
        <v>474.4</v>
      </c>
    </row>
    <row r="415" spans="1:7" x14ac:dyDescent="0.25">
      <c r="A415" s="1">
        <f t="shared" ca="1" si="44"/>
        <v>45620</v>
      </c>
      <c r="B415" t="str">
        <f t="shared" ca="1" si="46"/>
        <v>Store I</v>
      </c>
      <c r="C415" t="str">
        <f t="shared" ca="1" si="47"/>
        <v>Rep D</v>
      </c>
      <c r="D415" t="str">
        <f t="shared" ca="1" si="48"/>
        <v>Product H</v>
      </c>
      <c r="E415">
        <f t="shared" ca="1" si="49"/>
        <v>8</v>
      </c>
      <c r="F415" s="2">
        <f t="shared" ca="1" si="50"/>
        <v>10.84</v>
      </c>
      <c r="G415" s="2">
        <f t="shared" ca="1" si="45"/>
        <v>86.72</v>
      </c>
    </row>
    <row r="416" spans="1:7" x14ac:dyDescent="0.25">
      <c r="A416" s="1">
        <f t="shared" ca="1" si="44"/>
        <v>45471</v>
      </c>
      <c r="B416" t="str">
        <f t="shared" ca="1" si="46"/>
        <v>Store I</v>
      </c>
      <c r="C416" t="str">
        <f t="shared" ca="1" si="47"/>
        <v>Rep E</v>
      </c>
      <c r="D416" t="str">
        <f t="shared" ca="1" si="48"/>
        <v>Product F</v>
      </c>
      <c r="E416">
        <f t="shared" ca="1" si="49"/>
        <v>11</v>
      </c>
      <c r="F416" s="2">
        <f t="shared" ca="1" si="50"/>
        <v>2.82</v>
      </c>
      <c r="G416" s="2">
        <f t="shared" ca="1" si="45"/>
        <v>31.02</v>
      </c>
    </row>
    <row r="417" spans="1:7" x14ac:dyDescent="0.25">
      <c r="A417" s="1">
        <f t="shared" ca="1" si="44"/>
        <v>45639</v>
      </c>
      <c r="B417" t="str">
        <f t="shared" ca="1" si="46"/>
        <v>Store A</v>
      </c>
      <c r="C417" t="str">
        <f t="shared" ca="1" si="47"/>
        <v>Rep B</v>
      </c>
      <c r="D417" t="str">
        <f t="shared" ca="1" si="48"/>
        <v>Product C</v>
      </c>
      <c r="E417">
        <f t="shared" ca="1" si="49"/>
        <v>9</v>
      </c>
      <c r="F417" s="2">
        <f t="shared" ca="1" si="50"/>
        <v>22.8</v>
      </c>
      <c r="G417" s="2">
        <f t="shared" ca="1" si="45"/>
        <v>205.20000000000002</v>
      </c>
    </row>
    <row r="418" spans="1:7" x14ac:dyDescent="0.25">
      <c r="A418" s="1">
        <f t="shared" ca="1" si="44"/>
        <v>45296</v>
      </c>
      <c r="B418" t="str">
        <f t="shared" ca="1" si="46"/>
        <v>Store C</v>
      </c>
      <c r="C418" t="str">
        <f t="shared" ca="1" si="47"/>
        <v>Rep H</v>
      </c>
      <c r="D418" t="str">
        <f t="shared" ca="1" si="48"/>
        <v>Product B</v>
      </c>
      <c r="E418">
        <f t="shared" ca="1" si="49"/>
        <v>45</v>
      </c>
      <c r="F418" s="2">
        <f t="shared" ca="1" si="50"/>
        <v>9.3000000000000007</v>
      </c>
      <c r="G418" s="2">
        <f t="shared" ca="1" si="45"/>
        <v>418.50000000000006</v>
      </c>
    </row>
    <row r="419" spans="1:7" x14ac:dyDescent="0.25">
      <c r="A419" s="1">
        <f t="shared" ca="1" si="44"/>
        <v>45438</v>
      </c>
      <c r="B419" t="str">
        <f t="shared" ca="1" si="46"/>
        <v>Store I</v>
      </c>
      <c r="C419" t="str">
        <f t="shared" ca="1" si="47"/>
        <v>Rep J</v>
      </c>
      <c r="D419" t="str">
        <f t="shared" ca="1" si="48"/>
        <v>Product G</v>
      </c>
      <c r="E419">
        <f t="shared" ca="1" si="49"/>
        <v>29</v>
      </c>
      <c r="F419" s="2">
        <f t="shared" ca="1" si="50"/>
        <v>15.89</v>
      </c>
      <c r="G419" s="2">
        <f t="shared" ca="1" si="45"/>
        <v>460.81</v>
      </c>
    </row>
    <row r="420" spans="1:7" x14ac:dyDescent="0.25">
      <c r="A420" s="1">
        <f t="shared" ca="1" si="44"/>
        <v>45548</v>
      </c>
      <c r="B420" t="str">
        <f t="shared" ca="1" si="46"/>
        <v>Store I</v>
      </c>
      <c r="C420" t="str">
        <f t="shared" ca="1" si="47"/>
        <v>Rep F</v>
      </c>
      <c r="D420" t="str">
        <f t="shared" ca="1" si="48"/>
        <v>Product A</v>
      </c>
      <c r="E420">
        <f t="shared" ca="1" si="49"/>
        <v>12</v>
      </c>
      <c r="F420" s="2">
        <f t="shared" ca="1" si="50"/>
        <v>19.89</v>
      </c>
      <c r="G420" s="2">
        <f t="shared" ca="1" si="45"/>
        <v>238.68</v>
      </c>
    </row>
    <row r="421" spans="1:7" x14ac:dyDescent="0.25">
      <c r="A421" s="1">
        <f t="shared" ca="1" si="44"/>
        <v>45311</v>
      </c>
      <c r="B421" t="str">
        <f t="shared" ca="1" si="46"/>
        <v>Store D</v>
      </c>
      <c r="C421" t="str">
        <f t="shared" ca="1" si="47"/>
        <v>Rep B</v>
      </c>
      <c r="D421" t="str">
        <f t="shared" ca="1" si="48"/>
        <v>Product A</v>
      </c>
      <c r="E421">
        <f t="shared" ca="1" si="49"/>
        <v>20</v>
      </c>
      <c r="F421" s="2">
        <f t="shared" ca="1" si="50"/>
        <v>7.48</v>
      </c>
      <c r="G421" s="2">
        <f t="shared" ca="1" si="45"/>
        <v>149.60000000000002</v>
      </c>
    </row>
    <row r="422" spans="1:7" x14ac:dyDescent="0.25">
      <c r="A422" s="1">
        <f t="shared" ca="1" si="44"/>
        <v>45333</v>
      </c>
      <c r="B422" t="str">
        <f t="shared" ca="1" si="46"/>
        <v>Store A</v>
      </c>
      <c r="C422" t="str">
        <f t="shared" ca="1" si="47"/>
        <v>Rep A</v>
      </c>
      <c r="D422" t="str">
        <f t="shared" ca="1" si="48"/>
        <v>Product G</v>
      </c>
      <c r="E422">
        <f t="shared" ca="1" si="49"/>
        <v>14</v>
      </c>
      <c r="F422" s="2">
        <f t="shared" ca="1" si="50"/>
        <v>18.7</v>
      </c>
      <c r="G422" s="2">
        <f t="shared" ca="1" si="45"/>
        <v>261.8</v>
      </c>
    </row>
    <row r="423" spans="1:7" x14ac:dyDescent="0.25">
      <c r="A423" s="1">
        <f t="shared" ca="1" si="44"/>
        <v>45462</v>
      </c>
      <c r="B423" t="str">
        <f t="shared" ca="1" si="46"/>
        <v>Store C</v>
      </c>
      <c r="C423" t="str">
        <f t="shared" ca="1" si="47"/>
        <v>Rep C</v>
      </c>
      <c r="D423" t="str">
        <f t="shared" ca="1" si="48"/>
        <v>Product I</v>
      </c>
      <c r="E423">
        <f t="shared" ca="1" si="49"/>
        <v>44</v>
      </c>
      <c r="F423" s="2">
        <f t="shared" ca="1" si="50"/>
        <v>24.33</v>
      </c>
      <c r="G423" s="2">
        <f t="shared" ca="1" si="45"/>
        <v>1070.52</v>
      </c>
    </row>
    <row r="424" spans="1:7" x14ac:dyDescent="0.25">
      <c r="A424" s="1">
        <f t="shared" ca="1" si="44"/>
        <v>45417</v>
      </c>
      <c r="B424" t="str">
        <f t="shared" ca="1" si="46"/>
        <v>Store J</v>
      </c>
      <c r="C424" t="str">
        <f t="shared" ca="1" si="47"/>
        <v>Rep D</v>
      </c>
      <c r="D424" t="str">
        <f t="shared" ca="1" si="48"/>
        <v>Product H</v>
      </c>
      <c r="E424">
        <f t="shared" ca="1" si="49"/>
        <v>37</v>
      </c>
      <c r="F424" s="2">
        <f t="shared" ca="1" si="50"/>
        <v>21.39</v>
      </c>
      <c r="G424" s="2">
        <f t="shared" ca="1" si="45"/>
        <v>791.43000000000006</v>
      </c>
    </row>
    <row r="425" spans="1:7" x14ac:dyDescent="0.25">
      <c r="A425" s="1">
        <f t="shared" ca="1" si="44"/>
        <v>45559</v>
      </c>
      <c r="B425" t="str">
        <f t="shared" ca="1" si="46"/>
        <v>Store H</v>
      </c>
      <c r="C425" t="str">
        <f t="shared" ca="1" si="47"/>
        <v>Rep H</v>
      </c>
      <c r="D425" t="str">
        <f t="shared" ca="1" si="48"/>
        <v>Product E</v>
      </c>
      <c r="E425">
        <f t="shared" ca="1" si="49"/>
        <v>25</v>
      </c>
      <c r="F425" s="2">
        <f t="shared" ca="1" si="50"/>
        <v>15.12</v>
      </c>
      <c r="G425" s="2">
        <f t="shared" ca="1" si="45"/>
        <v>378</v>
      </c>
    </row>
    <row r="426" spans="1:7" x14ac:dyDescent="0.25">
      <c r="A426" s="1">
        <f t="shared" ca="1" si="44"/>
        <v>45422</v>
      </c>
      <c r="B426" t="str">
        <f t="shared" ca="1" si="46"/>
        <v>Store A</v>
      </c>
      <c r="C426" t="str">
        <f t="shared" ca="1" si="47"/>
        <v>Rep G</v>
      </c>
      <c r="D426" t="str">
        <f t="shared" ca="1" si="48"/>
        <v>Product B</v>
      </c>
      <c r="E426">
        <f t="shared" ca="1" si="49"/>
        <v>31</v>
      </c>
      <c r="F426" s="2">
        <f t="shared" ca="1" si="50"/>
        <v>3.22</v>
      </c>
      <c r="G426" s="2">
        <f t="shared" ca="1" si="45"/>
        <v>99.820000000000007</v>
      </c>
    </row>
    <row r="427" spans="1:7" x14ac:dyDescent="0.25">
      <c r="A427" s="1">
        <f t="shared" ca="1" si="44"/>
        <v>45412</v>
      </c>
      <c r="B427" t="str">
        <f t="shared" ca="1" si="46"/>
        <v>Store G</v>
      </c>
      <c r="C427" t="str">
        <f t="shared" ca="1" si="47"/>
        <v>Rep B</v>
      </c>
      <c r="D427" t="str">
        <f t="shared" ca="1" si="48"/>
        <v>Product J</v>
      </c>
      <c r="E427">
        <f t="shared" ca="1" si="49"/>
        <v>12</v>
      </c>
      <c r="F427" s="2">
        <f t="shared" ca="1" si="50"/>
        <v>4.3499999999999996</v>
      </c>
      <c r="G427" s="2">
        <f t="shared" ca="1" si="45"/>
        <v>52.199999999999996</v>
      </c>
    </row>
    <row r="428" spans="1:7" x14ac:dyDescent="0.25">
      <c r="A428" s="1">
        <f t="shared" ca="1" si="44"/>
        <v>45314</v>
      </c>
      <c r="B428" t="str">
        <f t="shared" ca="1" si="46"/>
        <v>Store I</v>
      </c>
      <c r="C428" t="str">
        <f t="shared" ca="1" si="47"/>
        <v>Rep A</v>
      </c>
      <c r="D428" t="str">
        <f t="shared" ca="1" si="48"/>
        <v>Product A</v>
      </c>
      <c r="E428">
        <f t="shared" ca="1" si="49"/>
        <v>47</v>
      </c>
      <c r="F428" s="2">
        <f t="shared" ca="1" si="50"/>
        <v>2.48</v>
      </c>
      <c r="G428" s="2">
        <f t="shared" ca="1" si="45"/>
        <v>116.56</v>
      </c>
    </row>
    <row r="429" spans="1:7" x14ac:dyDescent="0.25">
      <c r="A429" s="1">
        <f t="shared" ca="1" si="44"/>
        <v>45519</v>
      </c>
      <c r="B429" t="str">
        <f t="shared" ca="1" si="46"/>
        <v>Store J</v>
      </c>
      <c r="C429" t="str">
        <f t="shared" ca="1" si="47"/>
        <v>Rep H</v>
      </c>
      <c r="D429" t="str">
        <f t="shared" ca="1" si="48"/>
        <v>Product H</v>
      </c>
      <c r="E429">
        <f t="shared" ca="1" si="49"/>
        <v>8</v>
      </c>
      <c r="F429" s="2">
        <f t="shared" ca="1" si="50"/>
        <v>16.28</v>
      </c>
      <c r="G429" s="2">
        <f t="shared" ca="1" si="45"/>
        <v>130.24</v>
      </c>
    </row>
    <row r="430" spans="1:7" x14ac:dyDescent="0.25">
      <c r="A430" s="1">
        <f ca="1">RANDBETWEEN(DATE(2024,1,1),DATE(2024,12,31))</f>
        <v>45604</v>
      </c>
      <c r="B430" t="str">
        <f t="shared" ca="1" si="46"/>
        <v>Store G</v>
      </c>
      <c r="C430" t="str">
        <f t="shared" ca="1" si="47"/>
        <v>Rep G</v>
      </c>
      <c r="D430" t="str">
        <f t="shared" ca="1" si="48"/>
        <v>Product B</v>
      </c>
      <c r="E430">
        <f t="shared" ca="1" si="49"/>
        <v>41</v>
      </c>
      <c r="F430" s="2">
        <f t="shared" ca="1" si="50"/>
        <v>23.52</v>
      </c>
      <c r="G430" s="2">
        <f t="shared" ca="1" si="45"/>
        <v>964.31999999999994</v>
      </c>
    </row>
    <row r="431" spans="1:7" x14ac:dyDescent="0.25">
      <c r="A431" s="1">
        <f t="shared" ref="A431:A469" ca="1" si="51">RANDBETWEEN(DATE(2024,1,1),DATE(2024,12,31))</f>
        <v>45508</v>
      </c>
      <c r="B431" t="str">
        <f t="shared" ca="1" si="46"/>
        <v>Store B</v>
      </c>
      <c r="C431" t="str">
        <f t="shared" ca="1" si="47"/>
        <v>Rep G</v>
      </c>
      <c r="D431" t="str">
        <f t="shared" ca="1" si="48"/>
        <v>Product E</v>
      </c>
      <c r="E431">
        <f t="shared" ca="1" si="49"/>
        <v>14</v>
      </c>
      <c r="F431" s="2">
        <f t="shared" ca="1" si="50"/>
        <v>27.41</v>
      </c>
      <c r="G431" s="2">
        <f t="shared" ca="1" si="45"/>
        <v>383.74</v>
      </c>
    </row>
    <row r="432" spans="1:7" x14ac:dyDescent="0.25">
      <c r="A432" s="1">
        <f t="shared" ca="1" si="51"/>
        <v>45614</v>
      </c>
      <c r="B432" t="str">
        <f t="shared" ca="1" si="46"/>
        <v>Store I</v>
      </c>
      <c r="C432" t="str">
        <f t="shared" ca="1" si="47"/>
        <v>Rep G</v>
      </c>
      <c r="D432" t="str">
        <f t="shared" ca="1" si="48"/>
        <v>Product G</v>
      </c>
      <c r="E432">
        <f t="shared" ca="1" si="49"/>
        <v>35</v>
      </c>
      <c r="F432" s="2">
        <f t="shared" ca="1" si="50"/>
        <v>26.66</v>
      </c>
      <c r="G432" s="2">
        <f t="shared" ca="1" si="45"/>
        <v>933.1</v>
      </c>
    </row>
    <row r="433" spans="1:7" x14ac:dyDescent="0.25">
      <c r="A433" s="1">
        <f t="shared" ca="1" si="51"/>
        <v>45418</v>
      </c>
      <c r="B433" t="str">
        <f t="shared" ca="1" si="46"/>
        <v>Store G</v>
      </c>
      <c r="C433" t="str">
        <f t="shared" ca="1" si="47"/>
        <v>Rep I</v>
      </c>
      <c r="D433" t="str">
        <f t="shared" ca="1" si="48"/>
        <v>Product B</v>
      </c>
      <c r="E433">
        <f t="shared" ca="1" si="49"/>
        <v>40</v>
      </c>
      <c r="F433" s="2">
        <f t="shared" ca="1" si="50"/>
        <v>7.63</v>
      </c>
      <c r="G433" s="2">
        <f t="shared" ca="1" si="45"/>
        <v>305.2</v>
      </c>
    </row>
    <row r="434" spans="1:7" x14ac:dyDescent="0.25">
      <c r="A434" s="1">
        <f t="shared" ca="1" si="51"/>
        <v>45559</v>
      </c>
      <c r="B434" t="str">
        <f t="shared" ca="1" si="46"/>
        <v>Store D</v>
      </c>
      <c r="C434" t="str">
        <f t="shared" ca="1" si="47"/>
        <v>Rep J</v>
      </c>
      <c r="D434" t="str">
        <f t="shared" ca="1" si="48"/>
        <v>Product D</v>
      </c>
      <c r="E434">
        <f t="shared" ca="1" si="49"/>
        <v>20</v>
      </c>
      <c r="F434" s="2">
        <f t="shared" ca="1" si="50"/>
        <v>12.59</v>
      </c>
      <c r="G434" s="2">
        <f t="shared" ca="1" si="45"/>
        <v>251.8</v>
      </c>
    </row>
    <row r="435" spans="1:7" x14ac:dyDescent="0.25">
      <c r="A435" s="1">
        <f t="shared" ca="1" si="51"/>
        <v>45312</v>
      </c>
      <c r="B435" t="str">
        <f t="shared" ca="1" si="46"/>
        <v>Store A</v>
      </c>
      <c r="C435" t="str">
        <f t="shared" ca="1" si="47"/>
        <v>Rep E</v>
      </c>
      <c r="D435" t="str">
        <f t="shared" ca="1" si="48"/>
        <v>Product I</v>
      </c>
      <c r="E435">
        <f t="shared" ca="1" si="49"/>
        <v>3</v>
      </c>
      <c r="F435" s="2">
        <f t="shared" ca="1" si="50"/>
        <v>2.54</v>
      </c>
      <c r="G435" s="2">
        <f t="shared" ca="1" si="45"/>
        <v>7.62</v>
      </c>
    </row>
    <row r="436" spans="1:7" x14ac:dyDescent="0.25">
      <c r="A436" s="1">
        <f t="shared" ca="1" si="51"/>
        <v>45562</v>
      </c>
      <c r="B436" t="str">
        <f t="shared" ca="1" si="46"/>
        <v>Store H</v>
      </c>
      <c r="C436" t="str">
        <f t="shared" ca="1" si="47"/>
        <v>Rep A</v>
      </c>
      <c r="D436" t="str">
        <f t="shared" ca="1" si="48"/>
        <v>Product C</v>
      </c>
      <c r="E436">
        <f t="shared" ca="1" si="49"/>
        <v>45</v>
      </c>
      <c r="F436" s="2">
        <f t="shared" ca="1" si="50"/>
        <v>9.17</v>
      </c>
      <c r="G436" s="2">
        <f t="shared" ca="1" si="45"/>
        <v>412.65</v>
      </c>
    </row>
    <row r="437" spans="1:7" x14ac:dyDescent="0.25">
      <c r="A437" s="1">
        <f t="shared" ca="1" si="51"/>
        <v>45447</v>
      </c>
      <c r="B437" t="str">
        <f t="shared" ca="1" si="46"/>
        <v>Store A</v>
      </c>
      <c r="C437" t="str">
        <f t="shared" ca="1" si="47"/>
        <v>Rep C</v>
      </c>
      <c r="D437" t="str">
        <f t="shared" ca="1" si="48"/>
        <v>Product I</v>
      </c>
      <c r="E437">
        <f t="shared" ca="1" si="49"/>
        <v>43</v>
      </c>
      <c r="F437" s="2">
        <f t="shared" ca="1" si="50"/>
        <v>25.74</v>
      </c>
      <c r="G437" s="2">
        <f t="shared" ca="1" si="45"/>
        <v>1106.82</v>
      </c>
    </row>
    <row r="438" spans="1:7" x14ac:dyDescent="0.25">
      <c r="A438" s="1">
        <f t="shared" ca="1" si="51"/>
        <v>45602</v>
      </c>
      <c r="B438" t="str">
        <f t="shared" ca="1" si="46"/>
        <v>Store B</v>
      </c>
      <c r="C438" t="str">
        <f t="shared" ca="1" si="47"/>
        <v>Rep H</v>
      </c>
      <c r="D438" t="str">
        <f t="shared" ca="1" si="48"/>
        <v>Product I</v>
      </c>
      <c r="E438">
        <f t="shared" ca="1" si="49"/>
        <v>37</v>
      </c>
      <c r="F438" s="2">
        <f t="shared" ca="1" si="50"/>
        <v>2.29</v>
      </c>
      <c r="G438" s="2">
        <f t="shared" ca="1" si="45"/>
        <v>84.73</v>
      </c>
    </row>
    <row r="439" spans="1:7" x14ac:dyDescent="0.25">
      <c r="A439" s="1">
        <f t="shared" ca="1" si="51"/>
        <v>45312</v>
      </c>
      <c r="B439" t="str">
        <f t="shared" ca="1" si="46"/>
        <v>Store I</v>
      </c>
      <c r="C439" t="str">
        <f t="shared" ca="1" si="47"/>
        <v>Rep G</v>
      </c>
      <c r="D439" t="str">
        <f t="shared" ca="1" si="48"/>
        <v>Product D</v>
      </c>
      <c r="E439">
        <f t="shared" ca="1" si="49"/>
        <v>4</v>
      </c>
      <c r="F439" s="2">
        <f t="shared" ca="1" si="50"/>
        <v>4.29</v>
      </c>
      <c r="G439" s="2">
        <f t="shared" ca="1" si="45"/>
        <v>17.16</v>
      </c>
    </row>
    <row r="440" spans="1:7" x14ac:dyDescent="0.25">
      <c r="A440" s="1">
        <f t="shared" ca="1" si="51"/>
        <v>45544</v>
      </c>
      <c r="B440" t="str">
        <f t="shared" ca="1" si="46"/>
        <v>Store E</v>
      </c>
      <c r="C440" t="str">
        <f t="shared" ca="1" si="47"/>
        <v>Rep B</v>
      </c>
      <c r="D440" t="str">
        <f t="shared" ca="1" si="48"/>
        <v>Product F</v>
      </c>
      <c r="E440">
        <f t="shared" ca="1" si="49"/>
        <v>10</v>
      </c>
      <c r="F440" s="2">
        <f t="shared" ca="1" si="50"/>
        <v>11.37</v>
      </c>
      <c r="G440" s="2">
        <f t="shared" ca="1" si="45"/>
        <v>113.69999999999999</v>
      </c>
    </row>
    <row r="441" spans="1:7" x14ac:dyDescent="0.25">
      <c r="A441" s="1">
        <f t="shared" ca="1" si="51"/>
        <v>45597</v>
      </c>
      <c r="B441" t="str">
        <f t="shared" ca="1" si="46"/>
        <v>Store H</v>
      </c>
      <c r="C441" t="str">
        <f t="shared" ca="1" si="47"/>
        <v>Rep D</v>
      </c>
      <c r="D441" t="str">
        <f t="shared" ca="1" si="48"/>
        <v>Product C</v>
      </c>
      <c r="E441">
        <f t="shared" ca="1" si="49"/>
        <v>13</v>
      </c>
      <c r="F441" s="2">
        <f t="shared" ca="1" si="50"/>
        <v>19.010000000000002</v>
      </c>
      <c r="G441" s="2">
        <f t="shared" ca="1" si="45"/>
        <v>247.13000000000002</v>
      </c>
    </row>
    <row r="442" spans="1:7" x14ac:dyDescent="0.25">
      <c r="A442" s="1">
        <f t="shared" ca="1" si="51"/>
        <v>45385</v>
      </c>
      <c r="B442" t="str">
        <f t="shared" ca="1" si="46"/>
        <v>Store C</v>
      </c>
      <c r="C442" t="str">
        <f t="shared" ca="1" si="47"/>
        <v>Rep I</v>
      </c>
      <c r="D442" t="str">
        <f t="shared" ca="1" si="48"/>
        <v>Product I</v>
      </c>
      <c r="E442">
        <f t="shared" ca="1" si="49"/>
        <v>49</v>
      </c>
      <c r="F442" s="2">
        <f t="shared" ca="1" si="50"/>
        <v>5.85</v>
      </c>
      <c r="G442" s="2">
        <f t="shared" ca="1" si="45"/>
        <v>286.64999999999998</v>
      </c>
    </row>
    <row r="443" spans="1:7" x14ac:dyDescent="0.25">
      <c r="A443" s="1">
        <f t="shared" ca="1" si="51"/>
        <v>45521</v>
      </c>
      <c r="B443" t="str">
        <f t="shared" ca="1" si="46"/>
        <v>Store D</v>
      </c>
      <c r="C443" t="str">
        <f t="shared" ca="1" si="47"/>
        <v>Rep A</v>
      </c>
      <c r="D443" t="str">
        <f t="shared" ca="1" si="48"/>
        <v>Product D</v>
      </c>
      <c r="E443">
        <f t="shared" ca="1" si="49"/>
        <v>5</v>
      </c>
      <c r="F443" s="2">
        <f t="shared" ca="1" si="50"/>
        <v>24.52</v>
      </c>
      <c r="G443" s="2">
        <f t="shared" ca="1" si="45"/>
        <v>122.6</v>
      </c>
    </row>
    <row r="444" spans="1:7" x14ac:dyDescent="0.25">
      <c r="A444" s="1">
        <f t="shared" ca="1" si="51"/>
        <v>45451</v>
      </c>
      <c r="B444" t="str">
        <f t="shared" ca="1" si="46"/>
        <v>Store J</v>
      </c>
      <c r="C444" t="str">
        <f t="shared" ca="1" si="47"/>
        <v>Rep D</v>
      </c>
      <c r="D444" t="str">
        <f t="shared" ca="1" si="48"/>
        <v>Product A</v>
      </c>
      <c r="E444">
        <f t="shared" ca="1" si="49"/>
        <v>41</v>
      </c>
      <c r="F444" s="2">
        <f t="shared" ca="1" si="50"/>
        <v>6.9</v>
      </c>
      <c r="G444" s="2">
        <f t="shared" ca="1" si="45"/>
        <v>282.90000000000003</v>
      </c>
    </row>
    <row r="445" spans="1:7" x14ac:dyDescent="0.25">
      <c r="A445" s="1">
        <f t="shared" ca="1" si="51"/>
        <v>45628</v>
      </c>
      <c r="B445" t="str">
        <f t="shared" ca="1" si="46"/>
        <v>Store H</v>
      </c>
      <c r="C445" t="str">
        <f t="shared" ca="1" si="47"/>
        <v>Rep D</v>
      </c>
      <c r="D445" t="str">
        <f t="shared" ca="1" si="48"/>
        <v>Product A</v>
      </c>
      <c r="E445">
        <f t="shared" ca="1" si="49"/>
        <v>26</v>
      </c>
      <c r="F445" s="2">
        <f t="shared" ca="1" si="50"/>
        <v>19.27</v>
      </c>
      <c r="G445" s="2">
        <f t="shared" ca="1" si="45"/>
        <v>501.02</v>
      </c>
    </row>
    <row r="446" spans="1:7" x14ac:dyDescent="0.25">
      <c r="A446" s="1">
        <f t="shared" ca="1" si="51"/>
        <v>45479</v>
      </c>
      <c r="B446" t="str">
        <f t="shared" ca="1" si="46"/>
        <v>Store C</v>
      </c>
      <c r="C446" t="str">
        <f t="shared" ca="1" si="47"/>
        <v>Rep A</v>
      </c>
      <c r="D446" t="str">
        <f t="shared" ca="1" si="48"/>
        <v>Product A</v>
      </c>
      <c r="E446">
        <f t="shared" ca="1" si="49"/>
        <v>18</v>
      </c>
      <c r="F446" s="2">
        <f t="shared" ca="1" si="50"/>
        <v>23.23</v>
      </c>
      <c r="G446" s="2">
        <f t="shared" ca="1" si="45"/>
        <v>418.14</v>
      </c>
    </row>
    <row r="447" spans="1:7" x14ac:dyDescent="0.25">
      <c r="A447" s="1">
        <f t="shared" ca="1" si="51"/>
        <v>45653</v>
      </c>
      <c r="B447" t="str">
        <f t="shared" ca="1" si="46"/>
        <v>Store F</v>
      </c>
      <c r="C447" t="str">
        <f t="shared" ca="1" si="47"/>
        <v>Rep D</v>
      </c>
      <c r="D447" t="str">
        <f t="shared" ca="1" si="48"/>
        <v>Product I</v>
      </c>
      <c r="E447">
        <f t="shared" ca="1" si="49"/>
        <v>15</v>
      </c>
      <c r="F447" s="2">
        <f t="shared" ca="1" si="50"/>
        <v>8.51</v>
      </c>
      <c r="G447" s="2">
        <f t="shared" ca="1" si="45"/>
        <v>127.64999999999999</v>
      </c>
    </row>
    <row r="448" spans="1:7" x14ac:dyDescent="0.25">
      <c r="A448" s="1">
        <f t="shared" ca="1" si="51"/>
        <v>45466</v>
      </c>
      <c r="B448" t="str">
        <f t="shared" ca="1" si="46"/>
        <v>Store B</v>
      </c>
      <c r="C448" t="str">
        <f t="shared" ca="1" si="47"/>
        <v>Rep C</v>
      </c>
      <c r="D448" t="str">
        <f t="shared" ca="1" si="48"/>
        <v>Product D</v>
      </c>
      <c r="E448">
        <f t="shared" ca="1" si="49"/>
        <v>7</v>
      </c>
      <c r="F448" s="2">
        <f t="shared" ca="1" si="50"/>
        <v>26.25</v>
      </c>
      <c r="G448" s="2">
        <f t="shared" ca="1" si="45"/>
        <v>183.75</v>
      </c>
    </row>
    <row r="449" spans="1:7" x14ac:dyDescent="0.25">
      <c r="A449" s="1">
        <f t="shared" ca="1" si="51"/>
        <v>45522</v>
      </c>
      <c r="B449" t="str">
        <f t="shared" ca="1" si="46"/>
        <v>Store E</v>
      </c>
      <c r="C449" t="str">
        <f t="shared" ca="1" si="47"/>
        <v>Rep I</v>
      </c>
      <c r="D449" t="str">
        <f t="shared" ca="1" si="48"/>
        <v>Product J</v>
      </c>
      <c r="E449">
        <f t="shared" ca="1" si="49"/>
        <v>9</v>
      </c>
      <c r="F449" s="2">
        <f t="shared" ca="1" si="50"/>
        <v>2.83</v>
      </c>
      <c r="G449" s="2">
        <f t="shared" ca="1" si="45"/>
        <v>25.47</v>
      </c>
    </row>
    <row r="450" spans="1:7" x14ac:dyDescent="0.25">
      <c r="A450" s="1">
        <f t="shared" ca="1" si="51"/>
        <v>45583</v>
      </c>
      <c r="B450" t="str">
        <f t="shared" ca="1" si="46"/>
        <v>Store G</v>
      </c>
      <c r="C450" t="str">
        <f t="shared" ca="1" si="47"/>
        <v>Rep H</v>
      </c>
      <c r="D450" t="str">
        <f t="shared" ca="1" si="48"/>
        <v>Product G</v>
      </c>
      <c r="E450">
        <f t="shared" ca="1" si="49"/>
        <v>40</v>
      </c>
      <c r="F450" s="2">
        <f t="shared" ca="1" si="50"/>
        <v>16.600000000000001</v>
      </c>
      <c r="G450" s="2">
        <f t="shared" ref="G450:G469" ca="1" si="52">E450*F450</f>
        <v>664</v>
      </c>
    </row>
    <row r="451" spans="1:7" x14ac:dyDescent="0.25">
      <c r="A451" s="1">
        <f t="shared" ca="1" si="51"/>
        <v>45382</v>
      </c>
      <c r="B451" t="str">
        <f t="shared" ref="B451:B469" ca="1" si="53">CHOOSE(RANDBETWEEN(1,10),"Store A","Store B","Store C","Store D","Store E","Store F","Store G","Store H","Store I","Store J")</f>
        <v>Store H</v>
      </c>
      <c r="C451" t="str">
        <f t="shared" ref="C451:C469" ca="1" si="54">CHOOSE(RANDBETWEEN(1,10),"Rep A","Rep B","Rep C","Rep D","Rep E","Rep F","Rep G","Rep H","Rep I","Rep J")</f>
        <v>Rep C</v>
      </c>
      <c r="D451" t="str">
        <f t="shared" ref="D451:D469" ca="1" si="55">CHOOSE(RANDBETWEEN(1,10),"Product A","Product B","Product C","Product D","Product E","Product F","Product G","Product H","Product I","Product J")</f>
        <v>Product I</v>
      </c>
      <c r="E451">
        <f t="shared" ref="E451:E469" ca="1" si="56">RANDBETWEEN(1,50)</f>
        <v>23</v>
      </c>
      <c r="F451" s="2">
        <f t="shared" ref="F451:F469" ca="1" si="57">ROUND(2+28*RAND(),2)</f>
        <v>9.51</v>
      </c>
      <c r="G451" s="2">
        <f t="shared" ca="1" si="52"/>
        <v>218.73</v>
      </c>
    </row>
    <row r="452" spans="1:7" x14ac:dyDescent="0.25">
      <c r="A452" s="1">
        <f t="shared" ca="1" si="51"/>
        <v>45528</v>
      </c>
      <c r="B452" t="str">
        <f t="shared" ca="1" si="53"/>
        <v>Store A</v>
      </c>
      <c r="C452" t="str">
        <f t="shared" ca="1" si="54"/>
        <v>Rep J</v>
      </c>
      <c r="D452" t="str">
        <f t="shared" ca="1" si="55"/>
        <v>Product F</v>
      </c>
      <c r="E452">
        <f t="shared" ca="1" si="56"/>
        <v>28</v>
      </c>
      <c r="F452" s="2">
        <f t="shared" ca="1" si="57"/>
        <v>15.91</v>
      </c>
      <c r="G452" s="2">
        <f t="shared" ca="1" si="52"/>
        <v>445.48</v>
      </c>
    </row>
    <row r="453" spans="1:7" x14ac:dyDescent="0.25">
      <c r="A453" s="1">
        <f t="shared" ca="1" si="51"/>
        <v>45304</v>
      </c>
      <c r="B453" t="str">
        <f t="shared" ca="1" si="53"/>
        <v>Store I</v>
      </c>
      <c r="C453" t="str">
        <f t="shared" ca="1" si="54"/>
        <v>Rep C</v>
      </c>
      <c r="D453" t="str">
        <f t="shared" ca="1" si="55"/>
        <v>Product C</v>
      </c>
      <c r="E453">
        <f t="shared" ca="1" si="56"/>
        <v>2</v>
      </c>
      <c r="F453" s="2">
        <f t="shared" ca="1" si="57"/>
        <v>27.25</v>
      </c>
      <c r="G453" s="2">
        <f t="shared" ca="1" si="52"/>
        <v>54.5</v>
      </c>
    </row>
    <row r="454" spans="1:7" x14ac:dyDescent="0.25">
      <c r="A454" s="1">
        <f t="shared" ca="1" si="51"/>
        <v>45339</v>
      </c>
      <c r="B454" t="str">
        <f t="shared" ca="1" si="53"/>
        <v>Store G</v>
      </c>
      <c r="C454" t="str">
        <f t="shared" ca="1" si="54"/>
        <v>Rep H</v>
      </c>
      <c r="D454" t="str">
        <f t="shared" ca="1" si="55"/>
        <v>Product F</v>
      </c>
      <c r="E454">
        <f t="shared" ca="1" si="56"/>
        <v>34</v>
      </c>
      <c r="F454" s="2">
        <f t="shared" ca="1" si="57"/>
        <v>23.35</v>
      </c>
      <c r="G454" s="2">
        <f t="shared" ca="1" si="52"/>
        <v>793.90000000000009</v>
      </c>
    </row>
    <row r="455" spans="1:7" x14ac:dyDescent="0.25">
      <c r="A455" s="1">
        <f t="shared" ca="1" si="51"/>
        <v>45537</v>
      </c>
      <c r="B455" t="str">
        <f t="shared" ca="1" si="53"/>
        <v>Store D</v>
      </c>
      <c r="C455" t="str">
        <f t="shared" ca="1" si="54"/>
        <v>Rep E</v>
      </c>
      <c r="D455" t="str">
        <f t="shared" ca="1" si="55"/>
        <v>Product B</v>
      </c>
      <c r="E455">
        <f t="shared" ca="1" si="56"/>
        <v>25</v>
      </c>
      <c r="F455" s="2">
        <f t="shared" ca="1" si="57"/>
        <v>10.1</v>
      </c>
      <c r="G455" s="2">
        <f t="shared" ca="1" si="52"/>
        <v>252.5</v>
      </c>
    </row>
    <row r="456" spans="1:7" x14ac:dyDescent="0.25">
      <c r="A456" s="1">
        <f t="shared" ca="1" si="51"/>
        <v>45589</v>
      </c>
      <c r="B456" t="str">
        <f t="shared" ca="1" si="53"/>
        <v>Store H</v>
      </c>
      <c r="C456" t="str">
        <f t="shared" ca="1" si="54"/>
        <v>Rep D</v>
      </c>
      <c r="D456" t="str">
        <f t="shared" ca="1" si="55"/>
        <v>Product H</v>
      </c>
      <c r="E456">
        <f t="shared" ca="1" si="56"/>
        <v>11</v>
      </c>
      <c r="F456" s="2">
        <f t="shared" ca="1" si="57"/>
        <v>8.6999999999999993</v>
      </c>
      <c r="G456" s="2">
        <f t="shared" ca="1" si="52"/>
        <v>95.699999999999989</v>
      </c>
    </row>
    <row r="457" spans="1:7" x14ac:dyDescent="0.25">
      <c r="A457" s="1">
        <f t="shared" ca="1" si="51"/>
        <v>45595</v>
      </c>
      <c r="B457" t="str">
        <f t="shared" ca="1" si="53"/>
        <v>Store H</v>
      </c>
      <c r="C457" t="str">
        <f t="shared" ca="1" si="54"/>
        <v>Rep E</v>
      </c>
      <c r="D457" t="str">
        <f t="shared" ca="1" si="55"/>
        <v>Product C</v>
      </c>
      <c r="E457">
        <f t="shared" ca="1" si="56"/>
        <v>40</v>
      </c>
      <c r="F457" s="2">
        <f t="shared" ca="1" si="57"/>
        <v>21.12</v>
      </c>
      <c r="G457" s="2">
        <f t="shared" ca="1" si="52"/>
        <v>844.80000000000007</v>
      </c>
    </row>
    <row r="458" spans="1:7" x14ac:dyDescent="0.25">
      <c r="A458" s="1">
        <f t="shared" ca="1" si="51"/>
        <v>45327</v>
      </c>
      <c r="B458" t="str">
        <f t="shared" ca="1" si="53"/>
        <v>Store I</v>
      </c>
      <c r="C458" t="str">
        <f t="shared" ca="1" si="54"/>
        <v>Rep D</v>
      </c>
      <c r="D458" t="str">
        <f t="shared" ca="1" si="55"/>
        <v>Product F</v>
      </c>
      <c r="E458">
        <f t="shared" ca="1" si="56"/>
        <v>9</v>
      </c>
      <c r="F458" s="2">
        <f t="shared" ca="1" si="57"/>
        <v>13.28</v>
      </c>
      <c r="G458" s="2">
        <f t="shared" ca="1" si="52"/>
        <v>119.52</v>
      </c>
    </row>
    <row r="459" spans="1:7" x14ac:dyDescent="0.25">
      <c r="A459" s="1">
        <f t="shared" ca="1" si="51"/>
        <v>45386</v>
      </c>
      <c r="B459" t="str">
        <f t="shared" ca="1" si="53"/>
        <v>Store D</v>
      </c>
      <c r="C459" t="str">
        <f t="shared" ca="1" si="54"/>
        <v>Rep I</v>
      </c>
      <c r="D459" t="str">
        <f t="shared" ca="1" si="55"/>
        <v>Product D</v>
      </c>
      <c r="E459">
        <f t="shared" ca="1" si="56"/>
        <v>8</v>
      </c>
      <c r="F459" s="2">
        <f t="shared" ca="1" si="57"/>
        <v>10.19</v>
      </c>
      <c r="G459" s="2">
        <f t="shared" ca="1" si="52"/>
        <v>81.52</v>
      </c>
    </row>
    <row r="460" spans="1:7" x14ac:dyDescent="0.25">
      <c r="A460" s="1">
        <f t="shared" ca="1" si="51"/>
        <v>45657</v>
      </c>
      <c r="B460" t="str">
        <f t="shared" ca="1" si="53"/>
        <v>Store D</v>
      </c>
      <c r="C460" t="str">
        <f t="shared" ca="1" si="54"/>
        <v>Rep F</v>
      </c>
      <c r="D460" t="str">
        <f t="shared" ca="1" si="55"/>
        <v>Product E</v>
      </c>
      <c r="E460">
        <f t="shared" ca="1" si="56"/>
        <v>14</v>
      </c>
      <c r="F460" s="2">
        <f t="shared" ca="1" si="57"/>
        <v>27.96</v>
      </c>
      <c r="G460" s="2">
        <f t="shared" ca="1" si="52"/>
        <v>391.44</v>
      </c>
    </row>
    <row r="461" spans="1:7" x14ac:dyDescent="0.25">
      <c r="A461" s="1">
        <f t="shared" ca="1" si="51"/>
        <v>45595</v>
      </c>
      <c r="B461" t="str">
        <f t="shared" ca="1" si="53"/>
        <v>Store G</v>
      </c>
      <c r="C461" t="str">
        <f t="shared" ca="1" si="54"/>
        <v>Rep H</v>
      </c>
      <c r="D461" t="str">
        <f t="shared" ca="1" si="55"/>
        <v>Product F</v>
      </c>
      <c r="E461">
        <f t="shared" ca="1" si="56"/>
        <v>40</v>
      </c>
      <c r="F461" s="2">
        <f t="shared" ca="1" si="57"/>
        <v>10.46</v>
      </c>
      <c r="G461" s="2">
        <f t="shared" ca="1" si="52"/>
        <v>418.40000000000003</v>
      </c>
    </row>
    <row r="462" spans="1:7" x14ac:dyDescent="0.25">
      <c r="A462" s="1">
        <f t="shared" ca="1" si="51"/>
        <v>45360</v>
      </c>
      <c r="B462" t="str">
        <f t="shared" ca="1" si="53"/>
        <v>Store D</v>
      </c>
      <c r="C462" t="str">
        <f t="shared" ca="1" si="54"/>
        <v>Rep A</v>
      </c>
      <c r="D462" t="str">
        <f t="shared" ca="1" si="55"/>
        <v>Product J</v>
      </c>
      <c r="E462">
        <f t="shared" ca="1" si="56"/>
        <v>44</v>
      </c>
      <c r="F462" s="2">
        <f t="shared" ca="1" si="57"/>
        <v>20.74</v>
      </c>
      <c r="G462" s="2">
        <f t="shared" ca="1" si="52"/>
        <v>912.56</v>
      </c>
    </row>
    <row r="463" spans="1:7" x14ac:dyDescent="0.25">
      <c r="A463" s="1">
        <f t="shared" ca="1" si="51"/>
        <v>45473</v>
      </c>
      <c r="B463" t="str">
        <f t="shared" ca="1" si="53"/>
        <v>Store A</v>
      </c>
      <c r="C463" t="str">
        <f t="shared" ca="1" si="54"/>
        <v>Rep B</v>
      </c>
      <c r="D463" t="str">
        <f t="shared" ca="1" si="55"/>
        <v>Product B</v>
      </c>
      <c r="E463">
        <f t="shared" ca="1" si="56"/>
        <v>27</v>
      </c>
      <c r="F463" s="2">
        <f t="shared" ca="1" si="57"/>
        <v>19.45</v>
      </c>
      <c r="G463" s="2">
        <f t="shared" ca="1" si="52"/>
        <v>525.15</v>
      </c>
    </row>
    <row r="464" spans="1:7" x14ac:dyDescent="0.25">
      <c r="A464" s="1">
        <f t="shared" ca="1" si="51"/>
        <v>45621</v>
      </c>
      <c r="B464" t="str">
        <f t="shared" ca="1" si="53"/>
        <v>Store E</v>
      </c>
      <c r="C464" t="str">
        <f t="shared" ca="1" si="54"/>
        <v>Rep G</v>
      </c>
      <c r="D464" t="str">
        <f t="shared" ca="1" si="55"/>
        <v>Product B</v>
      </c>
      <c r="E464">
        <f t="shared" ca="1" si="56"/>
        <v>11</v>
      </c>
      <c r="F464" s="2">
        <f t="shared" ca="1" si="57"/>
        <v>22.96</v>
      </c>
      <c r="G464" s="2">
        <f t="shared" ca="1" si="52"/>
        <v>252.56</v>
      </c>
    </row>
    <row r="465" spans="1:7" x14ac:dyDescent="0.25">
      <c r="A465" s="1">
        <f t="shared" ca="1" si="51"/>
        <v>45329</v>
      </c>
      <c r="B465" t="str">
        <f t="shared" ca="1" si="53"/>
        <v>Store C</v>
      </c>
      <c r="C465" t="str">
        <f t="shared" ca="1" si="54"/>
        <v>Rep F</v>
      </c>
      <c r="D465" t="str">
        <f t="shared" ca="1" si="55"/>
        <v>Product F</v>
      </c>
      <c r="E465">
        <f t="shared" ca="1" si="56"/>
        <v>25</v>
      </c>
      <c r="F465" s="2">
        <f t="shared" ca="1" si="57"/>
        <v>6.54</v>
      </c>
      <c r="G465" s="2">
        <f t="shared" ca="1" si="52"/>
        <v>163.5</v>
      </c>
    </row>
    <row r="466" spans="1:7" x14ac:dyDescent="0.25">
      <c r="A466" s="1">
        <f t="shared" ca="1" si="51"/>
        <v>45591</v>
      </c>
      <c r="B466" t="str">
        <f t="shared" ca="1" si="53"/>
        <v>Store B</v>
      </c>
      <c r="C466" t="str">
        <f t="shared" ca="1" si="54"/>
        <v>Rep E</v>
      </c>
      <c r="D466" t="str">
        <f t="shared" ca="1" si="55"/>
        <v>Product G</v>
      </c>
      <c r="E466">
        <f t="shared" ca="1" si="56"/>
        <v>42</v>
      </c>
      <c r="F466" s="2">
        <f t="shared" ca="1" si="57"/>
        <v>10.73</v>
      </c>
      <c r="G466" s="2">
        <f t="shared" ca="1" si="52"/>
        <v>450.66</v>
      </c>
    </row>
    <row r="467" spans="1:7" x14ac:dyDescent="0.25">
      <c r="A467" s="1">
        <f t="shared" ca="1" si="51"/>
        <v>45492</v>
      </c>
      <c r="B467" t="str">
        <f t="shared" ca="1" si="53"/>
        <v>Store H</v>
      </c>
      <c r="C467" t="str">
        <f t="shared" ca="1" si="54"/>
        <v>Rep A</v>
      </c>
      <c r="D467" t="str">
        <f t="shared" ca="1" si="55"/>
        <v>Product C</v>
      </c>
      <c r="E467">
        <f t="shared" ca="1" si="56"/>
        <v>45</v>
      </c>
      <c r="F467" s="2">
        <f t="shared" ca="1" si="57"/>
        <v>14.67</v>
      </c>
      <c r="G467" s="2">
        <f t="shared" ca="1" si="52"/>
        <v>660.15</v>
      </c>
    </row>
    <row r="468" spans="1:7" x14ac:dyDescent="0.25">
      <c r="A468" s="1">
        <f t="shared" ca="1" si="51"/>
        <v>45337</v>
      </c>
      <c r="B468" t="str">
        <f t="shared" ca="1" si="53"/>
        <v>Store H</v>
      </c>
      <c r="C468" t="str">
        <f t="shared" ca="1" si="54"/>
        <v>Rep F</v>
      </c>
      <c r="D468" t="str">
        <f t="shared" ca="1" si="55"/>
        <v>Product C</v>
      </c>
      <c r="E468">
        <f t="shared" ca="1" si="56"/>
        <v>37</v>
      </c>
      <c r="F468" s="2">
        <f t="shared" ca="1" si="57"/>
        <v>10.5</v>
      </c>
      <c r="G468" s="2">
        <f t="shared" ca="1" si="52"/>
        <v>388.5</v>
      </c>
    </row>
    <row r="469" spans="1:7" x14ac:dyDescent="0.25">
      <c r="A469" s="1">
        <f t="shared" ca="1" si="51"/>
        <v>45315</v>
      </c>
      <c r="B469" t="str">
        <f t="shared" ca="1" si="53"/>
        <v>Store H</v>
      </c>
      <c r="C469" t="str">
        <f t="shared" ca="1" si="54"/>
        <v>Rep A</v>
      </c>
      <c r="D469" t="str">
        <f t="shared" ca="1" si="55"/>
        <v>Product G</v>
      </c>
      <c r="E469">
        <f t="shared" ca="1" si="56"/>
        <v>20</v>
      </c>
      <c r="F469" s="2">
        <f t="shared" ca="1" si="57"/>
        <v>15.99</v>
      </c>
      <c r="G469" s="2">
        <f t="shared" ca="1" si="52"/>
        <v>319.8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Sheet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ankit</cp:lastModifiedBy>
  <dcterms:created xsi:type="dcterms:W3CDTF">2015-06-05T18:17:20Z</dcterms:created>
  <dcterms:modified xsi:type="dcterms:W3CDTF">2026-06-12T02:15:15Z</dcterms:modified>
</cp:coreProperties>
</file>