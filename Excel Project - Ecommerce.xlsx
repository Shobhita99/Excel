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nkit\OneDrive\Desktop\ML\Excel\"/>
    </mc:Choice>
  </mc:AlternateContent>
  <bookViews>
    <workbookView xWindow="0" yWindow="0" windowWidth="20490" windowHeight="7635" activeTab="4"/>
  </bookViews>
  <sheets>
    <sheet name="Pivot1" sheetId="5" r:id="rId1"/>
    <sheet name="Pivot2" sheetId="7" r:id="rId2"/>
    <sheet name="Pivot3" sheetId="8" r:id="rId3"/>
    <sheet name="Pivot4" sheetId="9" r:id="rId4"/>
    <sheet name="Data" sheetId="1" r:id="rId5"/>
    <sheet name="Questions &amp; KPIs" sheetId="2" r:id="rId6"/>
    <sheet name="Dashboard" sheetId="3" r:id="rId7"/>
  </sheets>
  <definedNames>
    <definedName name="Slicer_Gender_Value">#N/A</definedName>
    <definedName name="Slicer_Order_Mod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7" l="1"/>
  <c r="I5" i="7"/>
  <c r="J5" i="7"/>
  <c r="K5" i="7"/>
  <c r="L5" i="7"/>
  <c r="J4" i="7"/>
  <c r="K4" i="7"/>
  <c r="L4" i="7"/>
  <c r="I4" i="7"/>
  <c r="I6" i="7"/>
  <c r="J6" i="7"/>
  <c r="K6" i="7"/>
  <c r="L6" i="7"/>
  <c r="I7" i="7"/>
  <c r="J7" i="7"/>
  <c r="K7" i="7"/>
  <c r="L7" i="7"/>
  <c r="I8" i="7"/>
  <c r="J8" i="7"/>
  <c r="K8" i="7"/>
  <c r="L8" i="7"/>
  <c r="I9" i="7"/>
  <c r="J9" i="7"/>
  <c r="K9" i="7"/>
  <c r="H6" i="7"/>
  <c r="H7" i="7"/>
  <c r="H8" i="7"/>
  <c r="H9" i="7"/>
  <c r="H5" i="7"/>
  <c r="K4" i="5"/>
  <c r="J4" i="5"/>
  <c r="I4" i="5"/>
  <c r="H4" i="5"/>
  <c r="G4"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<sst xmlns="http://schemas.openxmlformats.org/spreadsheetml/2006/main" count="14632" uniqueCount="2540">
  <si>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</si>
  <si>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</si>
  <si>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</si>
  <si>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</si>
  <si>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</si>
  <si>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</si>
  <si>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</si>
  <si>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</si>
  <si>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</si>
  <si>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</si>
  <si>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</si>
  <si>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</si>
  <si>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</si>
  <si>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</si>
  <si>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</si>
  <si>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</si>
  <si>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</si>
  <si>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</si>
  <si>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</si>
  <si>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</si>
  <si>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</si>
  <si>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</si>
  <si>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</si>
  <si>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</si>
  <si>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</si>
  <si>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</si>
  <si>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</si>
  <si>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</si>
  <si>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</si>
  <si>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</si>
  <si>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</si>
  <si>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</si>
  <si>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</si>
  <si>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</si>
  <si>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</si>
  <si>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</si>
  <si>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</si>
  <si>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</si>
  <si>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</si>
  <si>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</si>
  <si>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</si>
  <si>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</si>
  <si>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</si>
  <si>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</si>
  <si>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</si>
  <si>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</si>
  <si>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</si>
  <si>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</si>
  <si>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</si>
  <si>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</si>
  <si>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</si>
  <si>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</si>
  <si>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</si>
  <si>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</si>
  <si>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</si>
  <si>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</si>
  <si>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</si>
  <si>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</si>
  <si>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</si>
  <si>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</si>
  <si>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</si>
  <si>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</si>
  <si>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</si>
  <si>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</si>
  <si>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</si>
  <si>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</si>
  <si>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</si>
  <si>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</si>
  <si>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</si>
  <si>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</si>
  <si>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</si>
  <si>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</si>
  <si>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</si>
  <si>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</si>
  <si>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</si>
  <si>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</si>
  <si>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</si>
  <si>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</si>
  <si>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</si>
  <si>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</si>
  <si>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</si>
  <si>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</si>
  <si>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</si>
  <si>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</si>
  <si>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</si>
  <si>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</si>
  <si>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</si>
  <si>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</si>
  <si>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</si>
  <si>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</si>
  <si>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</si>
  <si>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</si>
  <si>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</si>
  <si>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</si>
  <si>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</si>
  <si>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</si>
  <si>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</si>
  <si>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</si>
  <si>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</si>
  <si>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</si>
  <si>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</si>
  <si>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</si>
  <si>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</si>
  <si>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</si>
  <si>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</si>
  <si>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</si>
  <si>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</si>
  <si>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</si>
  <si>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</si>
  <si>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</si>
  <si>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</si>
  <si>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</si>
  <si>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</si>
  <si>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</si>
  <si>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</si>
  <si>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</si>
  <si>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</si>
  <si>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</si>
  <si>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</si>
  <si>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</si>
  <si>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</si>
  <si>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</si>
  <si>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</si>
  <si>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</si>
  <si>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</si>
  <si>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</si>
  <si>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</si>
  <si>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</si>
  <si>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</si>
  <si>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</si>
  <si>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</si>
  <si>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</si>
  <si>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</si>
  <si>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</si>
  <si>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</si>
  <si>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</si>
  <si>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</si>
  <si>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</si>
  <si>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</si>
  <si>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</si>
  <si>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</si>
  <si>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</si>
  <si>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</si>
  <si>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</si>
  <si>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</si>
  <si>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</si>
  <si>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</si>
  <si>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</si>
  <si>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</si>
  <si>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</si>
  <si>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</si>
  <si>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</si>
  <si>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</si>
  <si>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</si>
  <si>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</si>
  <si>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</si>
  <si>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</si>
  <si>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</si>
  <si>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</si>
  <si>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</si>
  <si>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</si>
  <si>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</si>
  <si>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</si>
  <si>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</si>
  <si>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</si>
  <si>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</si>
  <si>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</si>
  <si>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</si>
  <si>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</si>
  <si>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</si>
  <si>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</si>
  <si>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</si>
  <si>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</si>
  <si>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</si>
  <si>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</si>
  <si>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</si>
  <si>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</si>
  <si>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</si>
  <si>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</si>
  <si>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</si>
  <si>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</si>
  <si>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</si>
  <si>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</si>
  <si>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</si>
  <si>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</si>
  <si>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</si>
  <si>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</si>
  <si>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</si>
  <si>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</si>
  <si>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</si>
  <si>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</si>
  <si>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</si>
  <si>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</si>
  <si>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</si>
  <si>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</si>
  <si>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</si>
  <si>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</si>
  <si>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</si>
  <si>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</si>
  <si>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</si>
  <si>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</si>
  <si>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</si>
  <si>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</si>
  <si>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</si>
  <si>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</si>
  <si>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</si>
  <si>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</si>
  <si>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</si>
  <si>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</si>
  <si>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</si>
  <si>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</si>
  <si>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</si>
  <si>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</si>
  <si>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</si>
  <si>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</si>
  <si>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</si>
  <si>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</si>
  <si>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</si>
  <si>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</si>
  <si>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</si>
  <si>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</si>
  <si>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</si>
  <si>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</si>
  <si>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</si>
  <si>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</si>
  <si>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</si>
  <si>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</si>
  <si>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</si>
  <si>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</si>
  <si>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</si>
  <si>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</si>
  <si>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</si>
  <si>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</si>
  <si>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</si>
  <si>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</si>
  <si>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</si>
  <si>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</si>
  <si>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</si>
  <si>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</si>
  <si>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</si>
  <si>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</si>
  <si>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</si>
  <si>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</si>
  <si>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</si>
  <si>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</si>
  <si>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</si>
  <si>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</si>
  <si>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</si>
  <si>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</si>
  <si>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</si>
  <si>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</si>
  <si>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</si>
  <si>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</si>
  <si>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</si>
  <si>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</si>
  <si>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</si>
  <si>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</si>
  <si>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</si>
  <si>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</si>
  <si>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</si>
  <si>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</si>
  <si>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</si>
  <si>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</si>
  <si>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</si>
  <si>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</si>
  <si>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</si>
  <si>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</si>
  <si>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</si>
  <si>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</si>
  <si>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</si>
  <si>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</si>
  <si>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</si>
  <si>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</si>
  <si>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</si>
  <si>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</si>
  <si>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</si>
  <si>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</si>
  <si>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</si>
  <si>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</si>
  <si>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</si>
  <si>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</si>
  <si>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</si>
  <si>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</si>
  <si>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</si>
  <si>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</si>
  <si>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</si>
  <si>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</si>
  <si>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</si>
  <si>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</si>
  <si>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</si>
  <si>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</si>
  <si>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</si>
  <si>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</si>
  <si>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</si>
  <si>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</si>
  <si>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</si>
  <si>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</si>
  <si>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</si>
  <si>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</si>
  <si>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</si>
  <si>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</si>
  <si>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</si>
  <si>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</si>
  <si>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</si>
  <si>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</si>
  <si>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</si>
  <si>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</si>
  <si>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</si>
  <si>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</si>
  <si>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</si>
  <si>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</si>
  <si>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</si>
  <si>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</si>
  <si>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</si>
  <si>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</si>
  <si>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</si>
  <si>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</si>
  <si>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</si>
  <si>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</si>
  <si>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</si>
  <si>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</si>
  <si>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</si>
  <si>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</si>
  <si>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</si>
  <si>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</si>
  <si>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</si>
  <si>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</si>
  <si>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</si>
  <si>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</si>
  <si>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</si>
  <si>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</si>
  <si>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</si>
  <si>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</si>
  <si>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</si>
  <si>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</si>
  <si>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</si>
  <si>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</si>
  <si>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</si>
  <si>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</si>
  <si>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</si>
  <si>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</si>
  <si>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</si>
  <si>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</si>
  <si>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</si>
  <si>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</si>
  <si>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</si>
  <si>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</si>
  <si>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</si>
  <si>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</si>
  <si>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</si>
  <si>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</si>
  <si>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</si>
  <si>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</si>
  <si>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</si>
  <si>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</si>
  <si>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</si>
  <si>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</si>
  <si>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</si>
  <si>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</si>
  <si>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</si>
  <si>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</si>
  <si>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</si>
  <si>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</si>
  <si>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</si>
  <si>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</si>
  <si>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</si>
  <si>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</si>
  <si>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</si>
  <si>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</si>
  <si>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</si>
  <si>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</si>
  <si>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</si>
  <si>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</si>
  <si>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</si>
  <si>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</si>
  <si>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</si>
  <si>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</si>
  <si>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</si>
  <si>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</si>
  <si>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</si>
  <si>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</si>
  <si>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</si>
  <si>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</si>
  <si>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</si>
  <si>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</si>
  <si>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</si>
  <si>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</si>
  <si>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</si>
  <si>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</si>
  <si>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</si>
  <si>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</si>
  <si>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</si>
  <si>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</si>
  <si>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</si>
  <si>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</si>
  <si>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</si>
  <si>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</si>
  <si>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</si>
  <si>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</si>
  <si>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</si>
  <si>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</si>
  <si>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</si>
  <si>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</si>
  <si>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</si>
  <si>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</si>
  <si>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</si>
  <si>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</si>
  <si>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</si>
  <si>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</si>
  <si>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</si>
  <si>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</si>
  <si>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</si>
  <si>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</si>
  <si>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</si>
  <si>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</si>
  <si>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</si>
  <si>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</si>
  <si>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</si>
  <si>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</si>
  <si>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</si>
  <si>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</si>
  <si>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</si>
  <si>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</si>
  <si>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</si>
  <si>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</si>
  <si>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</si>
  <si>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</si>
  <si>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</si>
  <si>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</si>
  <si>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</si>
  <si>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</si>
  <si>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</si>
  <si>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</si>
  <si>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</si>
  <si>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</si>
  <si>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</si>
  <si>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</si>
  <si>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</si>
  <si>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</si>
  <si>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</si>
  <si>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</si>
  <si>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</si>
  <si>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</si>
  <si>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</si>
  <si>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</si>
  <si>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</si>
  <si>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</si>
  <si>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</si>
  <si>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</si>
  <si>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</si>
  <si>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</si>
  <si>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</si>
  <si>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</si>
  <si>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</si>
  <si>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</si>
  <si>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</si>
  <si>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</si>
  <si>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</si>
  <si>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</si>
  <si>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</si>
  <si>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</si>
  <si>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</si>
  <si>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</si>
  <si>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</si>
  <si>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</si>
  <si>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</si>
  <si>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</si>
  <si>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</si>
  <si>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</si>
  <si>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</si>
  <si>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</si>
  <si>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</si>
  <si>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</si>
  <si>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</si>
  <si>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</si>
  <si>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</si>
  <si>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</si>
  <si>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</si>
  <si>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</si>
  <si>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</si>
  <si>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</si>
  <si>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</si>
  <si>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</si>
  <si>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</si>
  <si>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</si>
  <si>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</si>
  <si>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</si>
  <si>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</si>
  <si>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</si>
  <si>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</si>
  <si>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</si>
  <si>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</si>
  <si>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</si>
  <si>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</si>
  <si>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</si>
  <si>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</si>
  <si>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</si>
  <si>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</si>
  <si>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</si>
  <si>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</si>
  <si>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</si>
  <si>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</si>
  <si>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</si>
  <si>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</si>
  <si>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</si>
  <si>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</si>
  <si>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</si>
  <si>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</si>
  <si>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</si>
  <si>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</si>
  <si>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</si>
  <si>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</si>
  <si>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</si>
  <si>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</si>
  <si>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</si>
  <si>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</si>
  <si>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</si>
  <si>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</si>
  <si>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</si>
  <si>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</si>
  <si>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</si>
  <si>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</si>
  <si>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</si>
  <si>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</si>
  <si>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</si>
  <si>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</si>
  <si>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</si>
  <si>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</si>
  <si>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</si>
  <si>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</si>
  <si>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</si>
  <si>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</si>
  <si>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</si>
  <si>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</si>
  <si>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</si>
  <si>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</si>
  <si>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</si>
  <si>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</si>
  <si>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</si>
  <si>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</si>
  <si>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</si>
  <si>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</si>
  <si>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</si>
  <si>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</si>
  <si>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</si>
  <si>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</si>
  <si>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</si>
  <si>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</si>
  <si>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</si>
  <si>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</si>
  <si>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</si>
  <si>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</si>
  <si>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</si>
  <si>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</si>
  <si>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</si>
  <si>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</si>
  <si>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</si>
  <si>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</si>
  <si>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</si>
  <si>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</si>
  <si>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</si>
  <si>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</si>
  <si>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</si>
  <si>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</si>
  <si>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</si>
  <si>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</si>
  <si>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</si>
  <si>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</si>
  <si>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</si>
  <si>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</si>
  <si>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</si>
  <si>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</si>
  <si>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</si>
  <si>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</si>
  <si>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</si>
  <si>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</si>
  <si>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</si>
  <si>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</si>
  <si>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</si>
  <si>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</si>
  <si>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</si>
  <si>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</si>
  <si>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</si>
  <si>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</si>
  <si>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</si>
  <si>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</si>
  <si>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</si>
  <si>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</si>
  <si>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</si>
  <si>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</si>
  <si>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</si>
  <si>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</si>
  <si>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</si>
  <si>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</si>
  <si>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</si>
  <si>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</si>
  <si>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</si>
  <si>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</si>
  <si>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</si>
  <si>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</si>
  <si>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</si>
  <si>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</si>
  <si>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</si>
  <si>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</si>
  <si>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</si>
  <si>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</si>
  <si>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</si>
  <si>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</si>
  <si>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</si>
  <si>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</si>
  <si>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</si>
  <si>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</si>
  <si>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</si>
  <si>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</si>
  <si>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</si>
  <si>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</si>
  <si>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</si>
  <si>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</si>
  <si>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</si>
  <si>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</si>
  <si>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</si>
  <si>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</si>
  <si>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</si>
  <si>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</si>
  <si>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</si>
  <si>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</si>
  <si>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</si>
  <si>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</si>
  <si>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</si>
  <si>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</si>
  <si>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</si>
  <si>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</si>
  <si>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</si>
  <si>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</si>
  <si>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</si>
  <si>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</si>
  <si>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</si>
  <si>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</si>
  <si>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</si>
  <si>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</si>
  <si>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</si>
  <si>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</si>
  <si>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</si>
  <si>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</si>
  <si>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</si>
  <si>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</si>
  <si>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</si>
  <si>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</si>
  <si>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</si>
  <si>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</si>
  <si>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</si>
  <si>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</si>
  <si>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</si>
  <si>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</si>
  <si>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</si>
  <si>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</si>
  <si>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</si>
  <si>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</si>
  <si>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</si>
  <si>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</si>
  <si>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</si>
  <si>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</si>
  <si>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</si>
  <si>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</si>
  <si>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</si>
  <si>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</si>
  <si>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</si>
  <si>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</si>
  <si>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</si>
  <si>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</si>
  <si>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</si>
  <si>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</si>
  <si>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</si>
  <si>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</si>
  <si>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</si>
  <si>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</si>
  <si>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</si>
  <si>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</si>
  <si>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</si>
  <si>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</si>
  <si>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</si>
  <si>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</si>
  <si>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</si>
  <si>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</si>
  <si>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</si>
  <si>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</si>
  <si>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</si>
  <si>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</si>
  <si>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</si>
  <si>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</si>
  <si>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</si>
  <si>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</si>
  <si>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</si>
  <si>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</si>
  <si>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</si>
  <si>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</si>
  <si>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</si>
  <si>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</si>
  <si>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</si>
  <si>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</si>
  <si>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</si>
  <si>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</si>
  <si>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</si>
  <si>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</si>
  <si>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</si>
  <si>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</si>
  <si>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</si>
  <si>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</si>
  <si>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</si>
  <si>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</si>
  <si>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</si>
  <si>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</si>
  <si>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</si>
  <si>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</si>
  <si>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</si>
  <si>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</si>
  <si>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</si>
  <si>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</si>
  <si>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</si>
  <si>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</si>
  <si>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</si>
  <si>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</si>
  <si>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</si>
  <si>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</si>
  <si>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</si>
  <si>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</si>
  <si>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</si>
  <si>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</si>
  <si>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</si>
  <si>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</si>
  <si>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</si>
  <si>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</si>
  <si>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</si>
  <si>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</si>
  <si>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</si>
  <si>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</si>
  <si>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</si>
  <si>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</si>
  <si>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</si>
  <si>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</si>
  <si>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</si>
  <si>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</si>
  <si>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</si>
  <si>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</si>
  <si>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</si>
  <si>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</si>
  <si>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</si>
  <si>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</si>
  <si>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</si>
  <si>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</si>
  <si>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</si>
  <si>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</si>
  <si>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</si>
  <si>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</si>
  <si>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</si>
  <si>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</si>
  <si>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</si>
  <si>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</si>
  <si>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</si>
  <si>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</si>
  <si>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</si>
  <si>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</si>
  <si>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</si>
  <si>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</si>
  <si>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</si>
  <si>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</si>
  <si>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</si>
  <si>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</si>
  <si>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</si>
  <si>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</si>
  <si>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</si>
  <si>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</si>
  <si>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</si>
  <si>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</si>
  <si>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</si>
  <si>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</si>
  <si>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</si>
  <si>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</si>
  <si>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</si>
  <si>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</si>
  <si>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</si>
  <si>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</si>
  <si>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</si>
  <si>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</si>
  <si>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</si>
  <si>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</si>
  <si>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</si>
  <si>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</si>
  <si>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</si>
  <si>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</si>
  <si>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</si>
  <si>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</si>
  <si>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</si>
  <si>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</si>
  <si>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</si>
  <si>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</si>
  <si>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</si>
  <si>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</si>
  <si>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</si>
  <si>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</si>
  <si>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</si>
  <si>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</si>
  <si>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</si>
  <si>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</si>
  <si>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</si>
  <si>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</si>
  <si>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</si>
  <si>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</si>
  <si>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</si>
  <si>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</si>
  <si>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</si>
  <si>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</si>
  <si>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</si>
  <si>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</si>
  <si>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</si>
  <si>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</si>
  <si>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</si>
  <si>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</si>
  <si>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</si>
  <si>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</si>
  <si>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</si>
  <si>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</si>
  <si>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</si>
  <si>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</si>
  <si>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</si>
  <si>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</si>
  <si>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</si>
  <si>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</si>
  <si>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</si>
  <si>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</si>
  <si>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</si>
  <si>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</si>
  <si>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</si>
  <si>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</si>
  <si>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</si>
  <si>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</si>
  <si>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</si>
  <si>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</si>
  <si>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</si>
  <si>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</si>
  <si>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</si>
  <si>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</si>
  <si>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</si>
  <si>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</si>
  <si>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</si>
  <si>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</si>
  <si>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</si>
  <si>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</si>
  <si>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</si>
  <si>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</si>
  <si>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</si>
  <si>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</si>
  <si>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</si>
  <si>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</si>
  <si>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</si>
  <si>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</si>
  <si>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</si>
  <si>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</si>
  <si>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</si>
  <si>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</si>
  <si>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</si>
  <si>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</si>
  <si>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</si>
  <si>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</si>
  <si>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</si>
  <si>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</si>
  <si>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</si>
  <si>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</si>
  <si>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</si>
  <si>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</si>
  <si>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</si>
  <si>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</si>
  <si>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</si>
  <si>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</si>
  <si>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</si>
  <si>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</si>
  <si>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</si>
  <si>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</si>
  <si>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</si>
  <si>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</si>
  <si>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</si>
  <si>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</si>
  <si>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</si>
  <si>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</si>
  <si>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</si>
  <si>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</si>
  <si>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</si>
  <si>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</si>
  <si>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</si>
  <si>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</si>
  <si>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</si>
  <si>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</si>
  <si>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</si>
  <si>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</si>
  <si>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</si>
  <si>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</si>
  <si>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</si>
  <si>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</si>
  <si>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</si>
  <si>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</si>
  <si>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</si>
  <si>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</si>
  <si>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</si>
  <si>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</si>
  <si>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</si>
  <si>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</si>
  <si>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</si>
  <si>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</si>
  <si>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</si>
  <si>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</si>
  <si>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</si>
  <si>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</si>
  <si>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</si>
  <si>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</si>
  <si>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</si>
  <si>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</si>
  <si>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</si>
  <si>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</si>
  <si>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</si>
  <si>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</si>
  <si>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</si>
  <si>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</si>
  <si>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</si>
  <si>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</si>
  <si>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</si>
  <si>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</si>
  <si>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</si>
  <si>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</si>
  <si>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</si>
  <si>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</si>
  <si>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</si>
  <si>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</si>
  <si>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</si>
  <si>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</si>
  <si>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</si>
  <si>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</si>
  <si>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</si>
  <si>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</si>
  <si>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</si>
  <si>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</si>
  <si>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</si>
  <si>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</si>
  <si>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</si>
  <si>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</si>
  <si>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</si>
  <si>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</si>
  <si>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</si>
  <si>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</si>
  <si>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</si>
  <si>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</si>
  <si>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</si>
  <si>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</si>
  <si>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</si>
  <si>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</si>
  <si>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</si>
  <si>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</si>
  <si>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</si>
  <si>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</si>
  <si>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</si>
  <si>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</si>
  <si>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</si>
  <si>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</si>
  <si>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</si>
  <si>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</si>
  <si>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</si>
  <si>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</si>
  <si>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</si>
  <si>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</si>
  <si>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</si>
  <si>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</si>
  <si>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</si>
  <si>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</si>
  <si>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</si>
  <si>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</si>
  <si>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</si>
  <si>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</si>
  <si>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</si>
  <si>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</si>
  <si>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</si>
  <si>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</si>
  <si>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</si>
  <si>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</si>
  <si>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</si>
  <si>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</si>
  <si>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</si>
  <si>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</si>
  <si>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</si>
  <si>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</si>
  <si>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</si>
  <si>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</si>
  <si>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</si>
  <si>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</si>
  <si>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</si>
  <si>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</si>
  <si>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</si>
  <si>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</si>
  <si>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</si>
  <si>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</si>
  <si>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</si>
  <si>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</si>
  <si>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</si>
  <si>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</si>
  <si>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</si>
  <si>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</si>
  <si>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</si>
  <si>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</si>
  <si>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</si>
  <si>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</si>
  <si>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</si>
  <si>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</si>
  <si>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</si>
  <si>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</si>
  <si>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</si>
  <si>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</si>
  <si>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</si>
  <si>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</si>
  <si>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</si>
  <si>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</si>
  <si>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</si>
  <si>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</si>
  <si>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</si>
  <si>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</si>
  <si>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</si>
  <si>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</si>
  <si>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</si>
  <si>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</si>
  <si>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</si>
  <si>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</si>
  <si>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</si>
  <si>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</si>
  <si>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</si>
  <si>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</si>
  <si>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</si>
  <si>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</si>
  <si>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</si>
  <si>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</si>
  <si>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</si>
  <si>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</si>
  <si>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</si>
  <si>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</si>
  <si>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</si>
  <si>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</si>
  <si>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</si>
  <si>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</si>
  <si>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</si>
  <si>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</si>
  <si>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</si>
  <si>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</si>
  <si>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</si>
  <si>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</si>
  <si>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</si>
  <si>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</si>
  <si>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</si>
  <si>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</si>
  <si>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</si>
  <si>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</si>
  <si>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</si>
  <si>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</si>
  <si>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</si>
  <si>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</si>
  <si>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</si>
  <si>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</si>
  <si>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</si>
  <si>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</si>
  <si>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</si>
  <si>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</si>
  <si>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</si>
  <si>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</si>
  <si>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</si>
  <si>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</si>
  <si>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</si>
  <si>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</si>
  <si>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</si>
  <si>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</si>
  <si>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</si>
  <si>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</si>
  <si>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</si>
  <si>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</si>
  <si>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</si>
  <si>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</si>
  <si>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</si>
  <si>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</si>
  <si>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</si>
  <si>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</si>
  <si>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</si>
  <si>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</si>
  <si>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</si>
  <si>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</si>
  <si>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</si>
  <si>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</si>
  <si>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</si>
  <si>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</si>
  <si>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</si>
  <si>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</si>
  <si>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</si>
  <si>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</si>
  <si>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</si>
  <si>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</si>
  <si>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</si>
  <si>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</si>
  <si>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</si>
  <si>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</si>
  <si>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</si>
  <si>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</si>
  <si>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</si>
  <si>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</si>
  <si>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</si>
  <si>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</si>
  <si>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</si>
  <si>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</si>
  <si>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</si>
  <si>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</si>
  <si>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</si>
  <si>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</si>
  <si>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</si>
  <si>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</si>
  <si>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</si>
  <si>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</si>
  <si>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</si>
  <si>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</si>
  <si>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</si>
  <si>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</si>
  <si>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</si>
  <si>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</si>
  <si>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</si>
  <si>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</si>
  <si>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</si>
  <si>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</si>
  <si>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</si>
  <si>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</si>
  <si>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</si>
  <si>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</si>
  <si>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</si>
  <si>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</si>
  <si>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</si>
  <si>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</si>
  <si>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</si>
  <si>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</si>
  <si>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</si>
  <si>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</si>
  <si>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</si>
  <si>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</si>
  <si>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</si>
  <si>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</si>
  <si>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</si>
  <si>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</si>
  <si>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</si>
  <si>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</si>
  <si>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</si>
  <si>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</si>
  <si>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</si>
  <si>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</si>
  <si>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</si>
  <si>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</si>
  <si>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</si>
  <si>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</si>
  <si>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</si>
  <si>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</si>
  <si>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</si>
  <si>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</si>
  <si>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</si>
  <si>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</si>
  <si>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</si>
  <si>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</si>
  <si>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</si>
  <si>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</si>
  <si>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</si>
  <si>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</si>
  <si>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</si>
  <si>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</si>
  <si>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</si>
  <si>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</si>
  <si>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</si>
  <si>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</si>
  <si>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</si>
  <si>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</si>
  <si>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</si>
  <si>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</si>
  <si>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</si>
  <si>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</si>
  <si>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</si>
  <si>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</si>
  <si>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</si>
  <si>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</si>
  <si>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</si>
  <si>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</si>
  <si>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</si>
  <si>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</si>
  <si>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</si>
  <si>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</si>
  <si>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</si>
  <si>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</si>
  <si>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</si>
  <si>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</si>
  <si>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</si>
  <si>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</si>
  <si>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</si>
  <si>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</si>
  <si>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</si>
  <si>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</si>
  <si>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</si>
  <si>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</si>
  <si>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</si>
  <si>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</si>
  <si>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</si>
  <si>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</si>
  <si>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</si>
  <si>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</si>
  <si>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</si>
  <si>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</si>
  <si>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</si>
  <si>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</si>
  <si>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</si>
  <si>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</si>
  <si>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</si>
  <si>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</si>
  <si>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</si>
  <si>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</si>
  <si>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</si>
  <si>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</si>
  <si>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</si>
  <si>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</si>
  <si>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</si>
  <si>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</si>
  <si>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</si>
  <si>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</si>
  <si>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</si>
  <si>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</si>
  <si>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</si>
  <si>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</si>
  <si>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</si>
  <si>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</si>
  <si>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</si>
  <si>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</si>
  <si>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</si>
  <si>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</si>
  <si>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</si>
  <si>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</si>
  <si>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</si>
  <si>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</si>
  <si>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</si>
  <si>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</si>
  <si>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</si>
  <si>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</si>
  <si>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</si>
  <si>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</si>
  <si>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</si>
  <si>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</si>
  <si>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</si>
  <si>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</si>
  <si>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</si>
  <si>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</si>
  <si>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</si>
  <si>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</si>
  <si>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</si>
  <si>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</si>
  <si>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</si>
  <si>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</si>
  <si>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</si>
  <si>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</si>
  <si>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</si>
  <si>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</si>
  <si>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</si>
  <si>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</si>
  <si>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</si>
  <si>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</si>
  <si>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</si>
  <si>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</si>
  <si>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</si>
  <si>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</si>
  <si>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</si>
  <si>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</si>
  <si>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</si>
  <si>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</si>
  <si>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</si>
  <si>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</si>
  <si>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</si>
  <si>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</si>
  <si>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</si>
  <si>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</si>
  <si>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</si>
  <si>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</si>
  <si>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</si>
  <si>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</si>
  <si>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</si>
  <si>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</si>
  <si>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</si>
  <si>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</si>
  <si>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</si>
  <si>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</si>
  <si>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</si>
  <si>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</si>
  <si>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</si>
  <si>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</si>
  <si>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</si>
  <si>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</si>
  <si>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</si>
  <si>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</si>
  <si>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</si>
  <si>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</si>
  <si>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</si>
  <si>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</si>
  <si>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</si>
  <si>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</si>
  <si>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</si>
  <si>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</si>
  <si>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</si>
  <si>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</si>
  <si>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</si>
  <si>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</si>
  <si>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</si>
  <si>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</si>
  <si>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</si>
  <si>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</si>
  <si>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</si>
  <si>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</si>
  <si>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</si>
  <si>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</si>
  <si>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</si>
  <si>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</si>
  <si>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</si>
  <si>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</si>
  <si>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</si>
  <si>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</si>
  <si>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</si>
  <si>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</si>
  <si>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</si>
  <si>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</si>
  <si>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</si>
  <si>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</si>
  <si>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</si>
  <si>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</si>
  <si>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</si>
  <si>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</si>
  <si>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</si>
  <si>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</si>
  <si>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</si>
  <si>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</si>
  <si>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</si>
  <si>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</si>
  <si>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</si>
  <si>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</si>
  <si>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</si>
  <si>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</si>
  <si>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</si>
  <si>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</si>
  <si>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</si>
  <si>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</si>
  <si>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</si>
  <si>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</si>
  <si>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</si>
  <si>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</si>
  <si>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</si>
  <si>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</si>
  <si>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</si>
  <si>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</si>
  <si>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</si>
  <si>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</si>
  <si>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</si>
  <si>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</si>
  <si>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</si>
  <si>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</si>
  <si>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</si>
  <si>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</si>
  <si>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</si>
  <si>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</si>
  <si>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</si>
  <si>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</si>
  <si>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</si>
  <si>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</si>
  <si>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</si>
  <si>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</si>
  <si>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</si>
  <si>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</si>
  <si>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</si>
  <si>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</si>
  <si>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</si>
  <si>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</si>
  <si>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</si>
  <si>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</si>
  <si>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</si>
  <si>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</si>
  <si>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</si>
  <si>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</si>
  <si>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</si>
  <si>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</si>
  <si>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</si>
  <si>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</si>
  <si>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</si>
  <si>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</si>
  <si>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</si>
  <si>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</si>
  <si>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</si>
  <si>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</si>
  <si>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</si>
  <si>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</si>
  <si>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</si>
  <si>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</si>
  <si>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</si>
  <si>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</si>
  <si>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</si>
  <si>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</si>
  <si>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</si>
  <si>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</si>
  <si>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</si>
  <si>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</si>
  <si>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</si>
  <si>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</si>
  <si>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</si>
  <si>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</si>
  <si>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</si>
  <si>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</si>
  <si>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</si>
  <si>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</si>
  <si>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</si>
  <si>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</si>
  <si>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</si>
  <si>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</si>
  <si>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</si>
  <si>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</si>
  <si>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</si>
  <si>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</si>
  <si>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</si>
  <si>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</si>
  <si>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</si>
  <si>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</si>
  <si>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</si>
  <si>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</si>
  <si>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</si>
  <si>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</si>
  <si>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</si>
  <si>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</si>
  <si>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</si>
  <si>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</si>
  <si>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</si>
  <si>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</si>
  <si>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</si>
  <si>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</si>
  <si>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</si>
  <si>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</si>
  <si>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</si>
  <si>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</si>
  <si>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</si>
  <si>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</si>
  <si>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</si>
  <si>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</si>
  <si>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</si>
  <si>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</si>
  <si>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</si>
  <si>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</si>
  <si>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</si>
  <si>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</si>
  <si>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</si>
  <si>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</si>
  <si>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</si>
  <si>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</si>
  <si>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</si>
  <si>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</si>
  <si>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</si>
  <si>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</si>
  <si>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</si>
  <si>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</si>
  <si>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</si>
  <si>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</si>
  <si>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</si>
  <si>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</si>
  <si>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</si>
  <si>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</si>
  <si>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</si>
  <si>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</si>
  <si>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</si>
  <si>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</si>
  <si>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</si>
  <si>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</si>
  <si>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</si>
  <si>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</si>
  <si>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</si>
  <si>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</si>
  <si>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</si>
  <si>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</si>
  <si>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</si>
  <si>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</si>
  <si>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</si>
  <si>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</si>
  <si>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</si>
  <si>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</si>
  <si>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</si>
  <si>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</si>
  <si>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</si>
  <si>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</si>
  <si>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</si>
  <si>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</si>
  <si>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</si>
  <si>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</si>
  <si>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</si>
  <si>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</si>
  <si>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</si>
  <si>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</si>
  <si>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</si>
  <si>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</si>
  <si>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</si>
  <si>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</si>
  <si>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</si>
  <si>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</si>
  <si>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</si>
  <si>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</si>
  <si>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</si>
  <si>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</si>
  <si>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</si>
  <si>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</si>
  <si>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</si>
  <si>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</si>
  <si>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</si>
  <si>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</si>
  <si>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</si>
  <si>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</si>
  <si>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</si>
  <si>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</si>
  <si>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</si>
  <si>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</si>
  <si>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</si>
  <si>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</si>
  <si>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</si>
  <si>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</si>
  <si>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</si>
  <si>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</si>
  <si>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</si>
  <si>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</si>
  <si>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</si>
  <si>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</si>
  <si>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</si>
  <si>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</si>
  <si>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</si>
  <si>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</si>
  <si>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</si>
  <si>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</si>
  <si>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</si>
  <si>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</si>
  <si>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</si>
  <si>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</si>
  <si>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</si>
  <si>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</si>
  <si>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</si>
  <si>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</si>
  <si>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</si>
  <si>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</si>
  <si>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</si>
  <si>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</si>
  <si>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</si>
  <si>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</si>
  <si>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</si>
  <si>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</si>
  <si>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</si>
  <si>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</si>
  <si>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</si>
  <si>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</si>
  <si>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</si>
  <si>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</si>
  <si>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</si>
  <si>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</si>
  <si>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</si>
  <si>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</si>
  <si>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</si>
  <si>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</si>
  <si>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</si>
  <si>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</si>
  <si>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</si>
  <si>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</si>
  <si>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</si>
  <si>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</si>
  <si>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</si>
  <si>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</si>
  <si>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</si>
  <si>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</si>
  <si>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</si>
  <si>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</si>
  <si>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</si>
  <si>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</si>
  <si>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</si>
  <si>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</si>
  <si>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</si>
  <si>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</si>
  <si>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</si>
  <si>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</si>
  <si>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</si>
  <si>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</si>
  <si>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</si>
  <si>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</si>
  <si>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</si>
  <si>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</si>
  <si>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</si>
  <si>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</si>
  <si>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</si>
  <si>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</si>
  <si>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</si>
  <si>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</si>
  <si>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</si>
  <si>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</si>
  <si>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</si>
  <si>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</si>
  <si>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</si>
  <si>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</si>
  <si>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</si>
  <si>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</si>
  <si>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</si>
  <si>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</si>
  <si>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</si>
  <si>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</si>
  <si>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</si>
  <si>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</si>
  <si>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</si>
  <si>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</si>
  <si>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</si>
  <si>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</si>
  <si>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</si>
  <si>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</si>
  <si>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</si>
  <si>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</si>
  <si>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</si>
  <si>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</si>
  <si>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</si>
  <si>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</si>
  <si>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</si>
  <si>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</si>
  <si>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</si>
  <si>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</si>
  <si>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</si>
  <si>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</si>
  <si>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</si>
  <si>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</si>
  <si>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</si>
  <si>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</si>
  <si>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</si>
  <si>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</si>
  <si>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</si>
  <si>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</si>
  <si>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</si>
  <si>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</si>
  <si>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</si>
  <si>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</si>
  <si>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</si>
  <si>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</si>
  <si>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</si>
  <si>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</si>
  <si>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</si>
  <si>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</si>
  <si>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</si>
  <si>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</si>
  <si>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</si>
  <si>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</si>
  <si>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</si>
  <si>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</si>
  <si>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</si>
  <si>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</si>
  <si>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</si>
  <si>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</si>
  <si>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</si>
  <si>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</si>
  <si>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</si>
  <si>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</si>
  <si>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</si>
  <si>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</si>
  <si>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</si>
  <si>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</si>
  <si>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</si>
  <si>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</si>
  <si>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</si>
  <si>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</si>
  <si>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</si>
  <si>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</si>
  <si>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</si>
  <si>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</si>
  <si>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</si>
  <si>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</si>
  <si>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</si>
  <si>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</si>
  <si>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</si>
  <si>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</si>
  <si>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</si>
  <si>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</si>
  <si>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</si>
  <si>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</si>
  <si>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</si>
  <si>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</si>
  <si>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</si>
  <si>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</si>
  <si>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</si>
  <si>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</si>
  <si>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</si>
  <si>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</si>
  <si>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</si>
  <si>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</si>
  <si>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</si>
  <si>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</si>
  <si>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</si>
  <si>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</si>
  <si>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</si>
  <si>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</si>
  <si>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</si>
  <si>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</si>
  <si>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</si>
  <si>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</si>
  <si>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</si>
  <si>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</si>
  <si>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</si>
  <si>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</si>
  <si>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</si>
  <si>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</si>
  <si>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</si>
  <si>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</si>
  <si>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</si>
  <si>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</si>
  <si>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</si>
  <si>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</si>
  <si>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</si>
  <si>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</si>
  <si>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</si>
  <si>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</si>
  <si>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</si>
  <si>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</si>
  <si>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</si>
  <si>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</si>
  <si>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</si>
  <si>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</si>
  <si>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</si>
  <si>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</si>
  <si>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</si>
  <si>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</si>
  <si>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</si>
  <si>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</si>
  <si>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</si>
  <si>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</si>
  <si>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</si>
  <si>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</si>
  <si>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</si>
  <si>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</si>
  <si>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</si>
  <si>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</si>
  <si>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</si>
  <si>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</si>
  <si>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</si>
  <si>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</si>
  <si>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</si>
  <si>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</si>
  <si>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</si>
  <si>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</si>
  <si>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</si>
  <si>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</si>
  <si>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</si>
  <si>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</si>
  <si>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</si>
  <si>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</si>
  <si>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</si>
  <si>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</si>
  <si>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</si>
  <si>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</si>
  <si>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</si>
  <si>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</si>
  <si>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</si>
  <si>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</si>
  <si>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</si>
  <si>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</si>
  <si>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</si>
  <si>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</si>
  <si>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</si>
  <si>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</si>
  <si>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</si>
  <si>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</si>
  <si>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</si>
  <si>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</si>
  <si>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</si>
  <si>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</si>
  <si>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</si>
  <si>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</si>
  <si>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</si>
  <si>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</si>
  <si>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</si>
  <si>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</si>
  <si>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</si>
  <si>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</si>
  <si>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</si>
  <si>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</si>
  <si>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</si>
  <si>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</si>
  <si>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</si>
  <si>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</si>
  <si>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</si>
  <si>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</si>
  <si>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</si>
  <si>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</si>
  <si>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</si>
  <si>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</si>
  <si>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</si>
  <si>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</si>
  <si>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</si>
  <si>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</si>
  <si>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</si>
  <si>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</si>
  <si>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</si>
  <si>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</si>
  <si>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</si>
  <si>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</si>
  <si>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</si>
  <si>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</si>
  <si>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</si>
  <si>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</si>
  <si>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</si>
  <si>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</si>
  <si>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</si>
  <si>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</si>
  <si>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</si>
  <si>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</si>
  <si>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</si>
  <si>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</si>
  <si>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</si>
  <si>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</si>
  <si>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</si>
  <si>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</si>
  <si>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</si>
  <si>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</si>
  <si>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</si>
  <si>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</si>
  <si>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</si>
  <si>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</si>
  <si>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</si>
  <si>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</si>
  <si>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</si>
  <si>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</si>
  <si>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</si>
  <si>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</si>
  <si>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</si>
  <si>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</si>
  <si>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</si>
  <si>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</si>
  <si>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</si>
  <si>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</si>
  <si>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</si>
  <si>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</si>
  <si>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</si>
  <si>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</si>
  <si>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</si>
  <si>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</si>
  <si>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</si>
  <si>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</si>
  <si>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</si>
  <si>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</si>
  <si>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</si>
  <si>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</si>
  <si>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</si>
  <si>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</si>
  <si>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</si>
  <si>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</si>
  <si>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</si>
  <si>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</si>
  <si>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</si>
  <si>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</si>
  <si>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</si>
  <si>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</si>
  <si>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</si>
  <si>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</si>
  <si>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</si>
  <si>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</si>
  <si>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</si>
  <si>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</si>
  <si>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</si>
  <si>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</si>
  <si>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</si>
  <si>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</si>
  <si>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</si>
  <si>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</si>
  <si>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</si>
  <si>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</si>
  <si>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</si>
  <si>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</si>
  <si>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</si>
  <si>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</si>
  <si>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</si>
  <si>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</si>
  <si>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</si>
  <si>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</si>
  <si>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</si>
  <si>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</si>
  <si>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</si>
  <si>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</si>
  <si>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</si>
  <si>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</si>
  <si>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</si>
  <si>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</si>
  <si>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</si>
  <si>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</si>
  <si>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</si>
  <si>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</si>
  <si>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</si>
  <si>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</si>
  <si>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</si>
  <si>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</si>
  <si>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</si>
  <si>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</si>
  <si>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</si>
  <si>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</si>
  <si>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</si>
  <si>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</si>
  <si>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</si>
  <si>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</si>
  <si>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</si>
  <si>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</si>
  <si>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</si>
  <si>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</si>
  <si>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</si>
  <si>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</si>
  <si>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</si>
  <si>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</si>
  <si>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</si>
  <si>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</si>
  <si>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</si>
  <si>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</si>
  <si>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</si>
  <si>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</si>
  <si>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</si>
  <si>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</si>
  <si>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</si>
  <si>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</si>
  <si>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</si>
  <si>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</si>
  <si>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</si>
  <si>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</si>
  <si>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</si>
  <si>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</si>
  <si>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</si>
  <si>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</si>
  <si>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</si>
  <si>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</si>
  <si>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</si>
  <si>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</si>
  <si>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</si>
  <si>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</si>
  <si>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</si>
  <si>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</si>
  <si>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</si>
  <si>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</si>
  <si>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</si>
  <si>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</si>
  <si>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</si>
  <si>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</si>
  <si>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</si>
  <si>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</si>
  <si>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</si>
  <si>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</si>
  <si>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</si>
  <si>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</si>
  <si>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</si>
  <si>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</si>
  <si>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</si>
  <si>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</si>
  <si>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</si>
  <si>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</si>
  <si>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</si>
  <si>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</si>
  <si>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</si>
  <si>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</si>
  <si>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</si>
  <si>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</si>
  <si>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</si>
  <si>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</si>
  <si>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</si>
  <si>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</si>
  <si>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</si>
  <si>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</si>
  <si>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</si>
  <si>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</si>
  <si>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</si>
  <si>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</si>
  <si>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</si>
  <si>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</si>
  <si>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</si>
  <si>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</si>
  <si>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</si>
  <si>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</si>
  <si>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</si>
  <si>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</si>
  <si>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</si>
  <si>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</si>
  <si>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</si>
  <si>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</si>
  <si>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</si>
  <si>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</si>
  <si>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</si>
  <si>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</si>
  <si>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</si>
  <si>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</si>
  <si>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</si>
  <si>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</si>
  <si>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</si>
  <si>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</si>
  <si>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</si>
  <si>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</si>
  <si>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</si>
  <si>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</si>
  <si>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</si>
  <si>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</si>
  <si>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</si>
  <si>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</si>
  <si>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</si>
  <si>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</si>
  <si>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</si>
  <si>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</si>
  <si>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</si>
  <si>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</si>
  <si>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</si>
  <si>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</si>
  <si>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</si>
  <si>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</si>
  <si>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</si>
  <si>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</si>
  <si>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</si>
  <si>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</si>
  <si>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</si>
  <si>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</si>
  <si>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</si>
  <si>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</si>
  <si>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</si>
  <si>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</si>
  <si>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</si>
  <si>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</si>
  <si>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</si>
  <si>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</si>
  <si>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</si>
  <si>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</si>
  <si>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</si>
  <si>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</si>
  <si>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</si>
  <si>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</si>
  <si>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</si>
  <si>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</si>
  <si>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</si>
  <si>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</si>
  <si>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</si>
  <si>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</si>
  <si>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</si>
  <si>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</si>
  <si>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</si>
  <si>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</si>
  <si>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</si>
  <si>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</si>
  <si>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</si>
  <si>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</si>
  <si>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</si>
  <si>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</si>
  <si>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</si>
  <si>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</si>
  <si>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</si>
  <si>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</si>
  <si>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</si>
  <si>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</si>
  <si>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</si>
  <si>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</si>
  <si>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</si>
  <si>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</si>
  <si>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</si>
  <si>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</si>
  <si>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</si>
  <si>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</si>
  <si>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</si>
  <si>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</si>
  <si>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</si>
  <si>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</si>
  <si>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</si>
  <si>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</si>
  <si>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</si>
  <si>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</si>
  <si>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</si>
  <si>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</si>
  <si>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</si>
  <si>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</si>
  <si>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</si>
  <si>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</si>
  <si>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</si>
  <si>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</si>
  <si>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</si>
  <si>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</si>
  <si>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</si>
  <si>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</si>
  <si>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</si>
  <si>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</si>
  <si>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</si>
  <si>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</si>
  <si>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</si>
  <si>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</si>
  <si>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</si>
  <si>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</si>
  <si>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</si>
  <si>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</si>
  <si>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</si>
  <si>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</si>
  <si>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</si>
  <si>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</si>
  <si>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</si>
  <si>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</si>
  <si>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</si>
  <si>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</si>
  <si>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</si>
  <si>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</si>
  <si>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</si>
  <si>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</si>
  <si>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</si>
  <si>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</si>
  <si>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</si>
  <si>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</si>
  <si>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</si>
  <si>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</si>
  <si>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</si>
  <si>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</si>
  <si>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</si>
  <si>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</si>
  <si>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</si>
  <si>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</si>
  <si>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</si>
  <si>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</si>
  <si>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</si>
  <si>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</si>
  <si>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</si>
  <si>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</si>
  <si>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</si>
  <si>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</si>
  <si>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</si>
  <si>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</si>
  <si>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</si>
  <si>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</si>
  <si>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</si>
  <si>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</si>
  <si>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</si>
  <si>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</si>
  <si>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</si>
  <si>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</si>
  <si>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</si>
  <si>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</si>
  <si>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</si>
  <si>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</si>
  <si>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</si>
  <si>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</si>
  <si>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</si>
  <si>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</si>
  <si>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</si>
  <si>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</si>
  <si>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</si>
  <si>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</si>
  <si>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</si>
  <si>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</si>
  <si>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</si>
  <si>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</si>
  <si>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</si>
  <si>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</si>
  <si>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</si>
  <si>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</si>
  <si>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</si>
  <si>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</si>
  <si>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</si>
  <si>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</si>
  <si>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</si>
  <si>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</si>
  <si>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</si>
  <si>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</si>
  <si>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</si>
  <si>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</si>
  <si>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</si>
  <si>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</si>
  <si>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</si>
  <si>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</si>
  <si>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</si>
  <si>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</si>
  <si>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</si>
  <si>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</si>
  <si>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</si>
  <si>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</si>
  <si>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</si>
  <si>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</si>
  <si>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</si>
  <si>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</si>
  <si>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</si>
  <si>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</si>
  <si>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</si>
  <si>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</si>
  <si>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</si>
  <si>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</si>
  <si>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</si>
  <si>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</si>
  <si>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</si>
  <si>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</si>
  <si>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</si>
  <si>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</si>
  <si>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</si>
  <si>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</si>
  <si>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</si>
  <si>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</si>
  <si>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</si>
  <si>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</si>
  <si>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</si>
  <si>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</si>
  <si>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</si>
  <si>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</si>
  <si>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</si>
  <si>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</si>
  <si>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</si>
  <si>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</si>
  <si>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</si>
  <si>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</si>
  <si>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</si>
  <si>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</si>
  <si>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</si>
  <si>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</si>
  <si>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</si>
  <si>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</si>
  <si>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</si>
  <si>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</si>
  <si>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</si>
  <si>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</si>
  <si>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</si>
  <si>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</si>
  <si>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</si>
  <si>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</si>
  <si>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</si>
  <si>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</si>
  <si>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</si>
  <si>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</si>
  <si>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</si>
  <si>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</si>
  <si>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</si>
  <si>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</si>
  <si>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</si>
  <si>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</si>
  <si>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</si>
  <si>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</si>
  <si>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</si>
  <si>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</si>
  <si>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</si>
  <si>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</si>
  <si>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</si>
  <si>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</si>
  <si>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</si>
  <si>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</si>
  <si>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</si>
  <si>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</si>
  <si>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</si>
  <si>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</si>
  <si>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</si>
  <si>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</si>
  <si>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</si>
  <si>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</si>
  <si>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</si>
  <si>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</si>
  <si>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</si>
  <si>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</si>
  <si>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</si>
  <si>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</si>
  <si>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</si>
  <si>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</si>
  <si>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</si>
  <si>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</si>
  <si>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</si>
  <si>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</si>
  <si>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</si>
  <si>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</si>
  <si>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</si>
  <si>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</si>
  <si>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</si>
  <si>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</si>
  <si>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</si>
  <si>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</si>
  <si>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</si>
  <si>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</si>
  <si>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</si>
  <si>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</si>
  <si>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</si>
  <si>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</si>
  <si>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</si>
  <si>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</si>
  <si>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</si>
  <si>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</si>
  <si>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</si>
  <si>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</si>
  <si>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</si>
  <si>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</si>
  <si>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</si>
  <si>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</si>
  <si>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</si>
  <si>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</si>
  <si>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</si>
  <si>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</si>
  <si>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</si>
  <si>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</si>
  <si>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</si>
  <si>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</si>
  <si>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</si>
  <si>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</si>
  <si>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</si>
  <si>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</si>
  <si>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</si>
  <si>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</si>
  <si>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</si>
  <si>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</si>
  <si>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</si>
  <si>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</si>
  <si>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</si>
  <si>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</si>
  <si>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</si>
  <si>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</si>
  <si>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</si>
  <si>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</si>
  <si>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</si>
  <si>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</si>
  <si>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</si>
  <si>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</si>
  <si>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</si>
  <si>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</si>
  <si>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</si>
  <si>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</si>
  <si>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</si>
  <si>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</si>
  <si>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</si>
  <si>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</si>
  <si>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</si>
  <si>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</si>
  <si>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</si>
  <si>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</si>
  <si>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</si>
  <si>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</si>
  <si>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</si>
  <si>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</si>
  <si>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</si>
  <si>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</si>
  <si>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</si>
  <si>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</si>
  <si>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</si>
  <si>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</si>
  <si>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</si>
  <si>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</si>
  <si>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</si>
  <si>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</si>
  <si>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</si>
  <si>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</si>
  <si>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</si>
  <si>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</si>
  <si>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</si>
  <si>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</si>
  <si>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</si>
  <si>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</si>
  <si>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</si>
  <si>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</si>
  <si>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</si>
  <si>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</si>
  <si>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</si>
  <si>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</si>
  <si>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</si>
  <si>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</si>
  <si>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</si>
  <si>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</si>
  <si>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</si>
  <si>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</si>
  <si>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</si>
  <si>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</si>
  <si>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</si>
  <si>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</si>
  <si>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</si>
  <si>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</si>
  <si>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</si>
  <si>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</si>
  <si>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</si>
  <si>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</si>
  <si>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</si>
  <si>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</si>
  <si>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</si>
  <si>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</si>
  <si>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</si>
  <si>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</si>
  <si>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</si>
  <si>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</si>
  <si>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</si>
  <si>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</si>
  <si>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</si>
  <si>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</si>
  <si>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</si>
  <si>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</si>
  <si>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</si>
  <si>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</si>
  <si>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</si>
  <si>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</si>
  <si>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</si>
  <si>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</si>
  <si>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</si>
  <si>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</si>
  <si>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</si>
  <si>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</si>
  <si>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</si>
  <si>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</si>
  <si>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</si>
  <si>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</si>
  <si>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</si>
  <si>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</si>
  <si>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</si>
  <si>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</si>
  <si>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</si>
  <si>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</si>
  <si>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</si>
  <si>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</si>
  <si>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</si>
  <si>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</si>
  <si>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</si>
  <si>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</si>
  <si>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</si>
  <si>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</si>
  <si>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</si>
  <si>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</si>
  <si>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</si>
  <si>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</si>
  <si>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</si>
  <si>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</si>
  <si>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</si>
  <si>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</si>
  <si>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</si>
  <si>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</si>
  <si>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</si>
  <si>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</si>
  <si>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</si>
  <si>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</si>
  <si>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</si>
  <si>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</si>
  <si>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</si>
  <si>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</si>
  <si>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</si>
  <si>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</si>
  <si>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</si>
  <si>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</si>
  <si>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</si>
  <si>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</si>
  <si>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</si>
  <si>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</si>
  <si>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</si>
  <si>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</si>
  <si>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</si>
  <si>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</si>
  <si>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</si>
  <si>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</si>
  <si>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</si>
  <si>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</si>
  <si>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</si>
  <si>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</si>
  <si>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</si>
  <si>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</si>
  <si>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</si>
  <si>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</si>
  <si>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</si>
  <si>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</si>
  <si>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</si>
  <si>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</si>
  <si>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</si>
  <si>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</si>
  <si>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</si>
  <si>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</si>
  <si>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</si>
  <si>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</si>
  <si>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</si>
  <si>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</si>
  <si>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</si>
  <si>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</si>
  <si>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</si>
  <si>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</si>
  <si>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</si>
  <si>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</si>
  <si>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</si>
  <si>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</si>
  <si>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</si>
  <si>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</si>
  <si>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</si>
  <si>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</si>
  <si>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</si>
  <si>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</si>
  <si>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</si>
  <si>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</si>
  <si>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</si>
  <si>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</si>
  <si>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</si>
  <si>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</si>
  <si>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</si>
  <si>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</si>
  <si>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</si>
  <si>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</si>
  <si>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</si>
  <si>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</si>
  <si>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</si>
  <si>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</si>
  <si>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</si>
  <si>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</si>
  <si>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</si>
  <si>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</si>
  <si>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</si>
  <si>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</si>
  <si>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</si>
  <si>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</si>
  <si>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</si>
  <si>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</si>
  <si>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</si>
  <si>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</si>
  <si>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</si>
  <si>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</si>
  <si>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</si>
  <si>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</si>
  <si>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</si>
  <si>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</si>
  <si>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</si>
  <si>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</si>
  <si>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</si>
  <si>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</si>
  <si>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</si>
  <si>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</si>
  <si>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</si>
  <si>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</si>
  <si>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</si>
  <si>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</si>
  <si>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</si>
  <si>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</si>
  <si>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</si>
  <si>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</si>
  <si>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</si>
  <si>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</si>
  <si>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</si>
  <si>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</si>
  <si>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Avg.Days</t>
  </si>
  <si>
    <t>Row Labels</t>
  </si>
  <si>
    <t>Grand Total</t>
  </si>
  <si>
    <t>Female</t>
  </si>
  <si>
    <t>Male</t>
  </si>
  <si>
    <t>Other</t>
  </si>
  <si>
    <t>Unknown</t>
  </si>
  <si>
    <t>Column Labels</t>
  </si>
  <si>
    <t>For Matrix</t>
  </si>
  <si>
    <t>More Than 10</t>
  </si>
  <si>
    <t xml:space="preserve">6 To 10
</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</si>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</sst>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65" fontId="0" fillId="0" borderId="6" xfId="0" applyNumberFormat="1" applyBorder="1"/>
    <xf numFmtId="165" fontId="0" fillId="0" borderId="7" xfId="0" applyNumberFormat="1" applyBorder="1"/>
    <xf numFmtId="0" fontId="0" fillId="0" borderId="8" xfId="0" applyBorder="1"/>
    <xf numFmtId="165" fontId="0" fillId="0" borderId="9" xfId="0" applyNumberFormat="1" applyBorder="1"/>
    <xf numFmtId="165" fontId="0" fillId="0" borderId="10" xfId="0" applyNumberFormat="1" applyBorder="1"/>
    <xf numFmtId="0" fontId="1" fillId="0" borderId="0" xfId="0" applyFont="1"/>
    <xf numFmtId="0" fontId="1" fillId="0" borderId="1" xfId="0" applyFont="1" applyBorder="1"/>
    <xf numFmtId="15" fontId="0" fillId="0" borderId="0" xfId="0" applyNumberFormat="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Ecommerce.xlsx]Pivot1!pvtamtqty</c:name>
    <c:fmtId val="1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4542665500145815"/>
          <c:y val="0.16842105263157894"/>
          <c:w val="0.69988743073782445"/>
          <c:h val="0.67733333333333334"/>
        </c:manualLayout>
      </c:layout>
      <c:lineChart>
        <c:grouping val="standard"/>
        <c:varyColors val="0"/>
        <c:ser>
          <c:idx val="0"/>
          <c:order val="0"/>
          <c:tx>
            <c:strRef>
              <c:f>Pivot1!$B$6</c:f>
              <c:strCache>
                <c:ptCount val="1"/>
                <c:pt idx="0">
                  <c:v>Sum of Amount</c:v>
                </c:pt>
              </c:strCache>
            </c:strRef>
          </c:tx>
          <c:spPr>
            <a:ln w="28575" cap="rnd">
              <a:solidFill>
                <a:schemeClr val="accent1"/>
              </a:solidFill>
              <a:round/>
            </a:ln>
            <a:effectLst/>
          </c:spPr>
          <c:marker>
            <c:symbol val="none"/>
          </c:marker>
          <c:cat>
            <c:strRef>
              <c:f>Pivot1!$A$7:$A$20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Pivot1!$B$7:$B$20</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ser>
        <c:dLbls>
          <c:showLegendKey val="0"/>
          <c:showVal val="0"/>
          <c:showCatName val="0"/>
          <c:showSerName val="0"/>
          <c:showPercent val="0"/>
          <c:showBubbleSize val="0"/>
        </c:dLbls>
        <c:marker val="1"/>
        <c:smooth val="0"/>
        <c:axId val="1883758784"/>
        <c:axId val="1883768032"/>
      </c:lineChart>
      <c:lineChart>
        <c:grouping val="standard"/>
        <c:varyColors val="0"/>
        <c:ser>
          <c:idx val="1"/>
          <c:order val="1"/>
          <c:tx>
            <c:strRef>
              <c:f>Pivot1!$C$6</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Pivot1!$A$7:$A$20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Pivot1!$C$7:$C$20</c:f>
              <c:numCache>
                <c:formatCode>"$"#,##0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ser>
        <c:dLbls>
          <c:showLegendKey val="0"/>
          <c:showVal val="0"/>
          <c:showCatName val="0"/>
          <c:showSerName val="0"/>
          <c:showPercent val="0"/>
          <c:showBubbleSize val="0"/>
        </c:dLbls>
        <c:marker val="1"/>
        <c:smooth val="0"/>
        <c:axId val="1883769664"/>
        <c:axId val="1883763680"/>
      </c:lineChart>
      <c:catAx>
        <c:axId val="18837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8032"/>
        <c:crosses val="autoZero"/>
        <c:auto val="1"/>
        <c:lblAlgn val="ctr"/>
        <c:lblOffset val="100"/>
        <c:noMultiLvlLbl val="0"/>
      </c:catAx>
      <c:valAx>
        <c:axId val="188376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58784"/>
        <c:crosses val="autoZero"/>
        <c:crossBetween val="between"/>
      </c:valAx>
      <c:valAx>
        <c:axId val="188376368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9664"/>
        <c:crosses val="max"/>
        <c:crossBetween val="between"/>
      </c:valAx>
      <c:catAx>
        <c:axId val="1883769664"/>
        <c:scaling>
          <c:orientation val="minMax"/>
        </c:scaling>
        <c:delete val="1"/>
        <c:axPos val="b"/>
        <c:numFmt formatCode="General" sourceLinked="1"/>
        <c:majorTickMark val="out"/>
        <c:minorTickMark val="none"/>
        <c:tickLblPos val="nextTo"/>
        <c:crossAx val="188376368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Ecommerce.xlsx]Pivot3!pvttxid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Pivot3!$A$4:$A$11</c:f>
              <c:strCache>
                <c:ptCount val="7"/>
                <c:pt idx="0">
                  <c:v>1</c:v>
                </c:pt>
                <c:pt idx="1">
                  <c:v>2</c:v>
                </c:pt>
                <c:pt idx="2">
                  <c:v>3</c:v>
                </c:pt>
                <c:pt idx="3">
                  <c:v>4</c:v>
                </c:pt>
                <c:pt idx="4">
                  <c:v>5</c:v>
                </c:pt>
                <c:pt idx="5">
                  <c:v>6 To 10
</c:v>
                </c:pt>
                <c:pt idx="6">
                  <c:v>More Than 10</c:v>
                </c:pt>
              </c:strCache>
            </c:strRef>
          </c:cat>
          <c:val>
            <c:numRef>
              <c:f>Pivot3!$B$4:$B$11</c:f>
              <c:numCache>
                <c:formatCode>General</c:formatCode>
                <c:ptCount val="7"/>
                <c:pt idx="0">
                  <c:v>397</c:v>
                </c:pt>
                <c:pt idx="1">
                  <c:v>540</c:v>
                </c:pt>
                <c:pt idx="2">
                  <c:v>375</c:v>
                </c:pt>
                <c:pt idx="3">
                  <c:v>246</c:v>
                </c:pt>
                <c:pt idx="4">
                  <c:v>195</c:v>
                </c:pt>
                <c:pt idx="5">
                  <c:v>414</c:v>
                </c:pt>
                <c:pt idx="6">
                  <c:v>233</c:v>
                </c:pt>
              </c:numCache>
            </c:numRef>
          </c:val>
        </c:ser>
        <c:dLbls>
          <c:showLegendKey val="0"/>
          <c:showVal val="0"/>
          <c:showCatName val="0"/>
          <c:showSerName val="0"/>
          <c:showPercent val="0"/>
          <c:showBubbleSize val="0"/>
        </c:dLbls>
        <c:gapWidth val="20"/>
        <c:overlap val="-27"/>
        <c:axId val="1883768576"/>
        <c:axId val="1883766400"/>
      </c:barChart>
      <c:catAx>
        <c:axId val="188376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6400"/>
        <c:crosses val="autoZero"/>
        <c:auto val="1"/>
        <c:lblAlgn val="ctr"/>
        <c:lblOffset val="100"/>
        <c:noMultiLvlLbl val="0"/>
      </c:catAx>
      <c:valAx>
        <c:axId val="188376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8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Ecommerce.xlsx]Pivot4!pvtproduct</c:name>
    <c:fmtId val="9"/>
  </c:pivotSource>
  <c:chart>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5.0713688957894347E-2"/>
          <c:y val="0.18290203823531959"/>
          <c:w val="0.55574492625041583"/>
          <c:h val="0.78245991528286685"/>
        </c:manualLayout>
      </c:layout>
      <c:barChart>
        <c:barDir val="bar"/>
        <c:grouping val="stacked"/>
        <c:varyColors val="0"/>
        <c:ser>
          <c:idx val="0"/>
          <c:order val="0"/>
          <c:tx>
            <c:strRef>
              <c:f>Pivot4!$B$3:$B$4</c:f>
              <c:strCache>
                <c:ptCount val="1"/>
                <c:pt idx="0">
                  <c:v>Female</c:v>
                </c:pt>
              </c:strCache>
            </c:strRef>
          </c:tx>
          <c:spPr>
            <a:solidFill>
              <a:schemeClr val="accent1"/>
            </a:solidFill>
            <a:ln>
              <a:noFill/>
            </a:ln>
            <a:effectLst/>
          </c:spPr>
          <c:invertIfNegative val="0"/>
          <c:cat>
            <c:strRef>
              <c:f>Pivot4!$A$5:$A$25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Pivot4!$B$5:$B$25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ser>
        <c:ser>
          <c:idx val="1"/>
          <c:order val="1"/>
          <c:tx>
            <c:strRef>
              <c:f>Pivot4!$C$3:$C$4</c:f>
              <c:strCache>
                <c:ptCount val="1"/>
                <c:pt idx="0">
                  <c:v>Male</c:v>
                </c:pt>
              </c:strCache>
            </c:strRef>
          </c:tx>
          <c:spPr>
            <a:solidFill>
              <a:schemeClr val="accent2"/>
            </a:solidFill>
            <a:ln>
              <a:noFill/>
            </a:ln>
            <a:effectLst/>
          </c:spPr>
          <c:invertIfNegative val="0"/>
          <c:cat>
            <c:strRef>
              <c:f>Pivot4!$A$5:$A$25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Pivot4!$C$5:$C$25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ser>
        <c:ser>
          <c:idx val="2"/>
          <c:order val="2"/>
          <c:tx>
            <c:strRef>
              <c:f>Pivot4!$D$3:$D$4</c:f>
              <c:strCache>
                <c:ptCount val="1"/>
                <c:pt idx="0">
                  <c:v>Other</c:v>
                </c:pt>
              </c:strCache>
            </c:strRef>
          </c:tx>
          <c:spPr>
            <a:solidFill>
              <a:schemeClr val="accent3"/>
            </a:solidFill>
            <a:ln>
              <a:noFill/>
            </a:ln>
            <a:effectLst/>
          </c:spPr>
          <c:invertIfNegative val="0"/>
          <c:cat>
            <c:strRef>
              <c:f>Pivot4!$A$5:$A$25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Pivot4!$D$5:$D$25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ser>
        <c:ser>
          <c:idx val="3"/>
          <c:order val="3"/>
          <c:tx>
            <c:strRef>
              <c:f>Pivot4!$E$3:$E$4</c:f>
              <c:strCache>
                <c:ptCount val="1"/>
                <c:pt idx="0">
                  <c:v>Unknown</c:v>
                </c:pt>
              </c:strCache>
            </c:strRef>
          </c:tx>
          <c:spPr>
            <a:solidFill>
              <a:schemeClr val="accent4"/>
            </a:solidFill>
            <a:ln>
              <a:noFill/>
            </a:ln>
            <a:effectLst/>
          </c:spPr>
          <c:invertIfNegative val="0"/>
          <c:cat>
            <c:strRef>
              <c:f>Pivot4!$A$5:$A$25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Pivot4!$E$5:$E$25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ser>
        <c:dLbls>
          <c:showLegendKey val="0"/>
          <c:showVal val="0"/>
          <c:showCatName val="0"/>
          <c:showSerName val="0"/>
          <c:showPercent val="0"/>
          <c:showBubbleSize val="0"/>
        </c:dLbls>
        <c:gapWidth val="21"/>
        <c:overlap val="100"/>
        <c:axId val="1883772928"/>
        <c:axId val="1883771840"/>
      </c:barChart>
      <c:catAx>
        <c:axId val="188377292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71840"/>
        <c:crosses val="autoZero"/>
        <c:auto val="1"/>
        <c:lblAlgn val="ctr"/>
        <c:lblOffset val="100"/>
        <c:noMultiLvlLbl val="0"/>
      </c:catAx>
      <c:valAx>
        <c:axId val="188377184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72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Ecommerce.xlsx]Pivot4!pvtgendervalue</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1538461538461445E-2"/>
              <c:y val="0.15718157181571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7435897435897436"/>
                  <c:h val="0.22802210699272346"/>
                </c:manualLayout>
              </c15:layout>
            </c:ext>
          </c:extLst>
        </c:dLbl>
      </c:pivotFmt>
      <c:pivotFmt>
        <c:idx val="8"/>
        <c:spPr>
          <a:solidFill>
            <a:schemeClr val="accent1"/>
          </a:solidFill>
          <a:ln w="19050">
            <a:solidFill>
              <a:schemeClr val="lt1"/>
            </a:solidFill>
          </a:ln>
          <a:effectLst/>
        </c:spPr>
        <c:dLbl>
          <c:idx val="0"/>
          <c:layout>
            <c:manualLayout>
              <c:x val="-7.6923076923076927E-2"/>
              <c:y val="0.173442161193265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4358974358974359"/>
                  <c:h val="0.21344173441734413"/>
                </c:manualLayout>
              </c15:layout>
            </c:ext>
          </c:extLst>
        </c:dLbl>
      </c:pivotFmt>
      <c:pivotFmt>
        <c:idx val="9"/>
        <c:spPr>
          <a:solidFill>
            <a:schemeClr val="accent1"/>
          </a:solidFill>
          <a:ln w="19050">
            <a:solidFill>
              <a:schemeClr val="lt1"/>
            </a:solidFill>
          </a:ln>
          <a:effectLst/>
        </c:spPr>
        <c:dLbl>
          <c:idx val="0"/>
          <c:layout>
            <c:manualLayout>
              <c:x val="-0.15384615384615385"/>
              <c:y val="-8.6720867208672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1799959620432061"/>
                  <c:h val="0.25680216802168021"/>
                </c:manualLayout>
              </c15:layout>
            </c:ext>
          </c:extLst>
        </c:dLbl>
      </c:pivotFmt>
      <c:pivotFmt>
        <c:idx val="10"/>
        <c:spPr>
          <a:solidFill>
            <a:schemeClr val="accent1"/>
          </a:solidFill>
          <a:ln w="19050">
            <a:solidFill>
              <a:schemeClr val="lt1"/>
            </a:solidFill>
          </a:ln>
          <a:effectLst/>
        </c:spPr>
        <c:dLbl>
          <c:idx val="0"/>
          <c:layout>
            <c:manualLayout>
              <c:x val="0.31081405208964263"/>
              <c:y val="-0.135501355013550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7296103371693921"/>
                  <c:h val="0.21008130081300813"/>
                </c:manualLayout>
              </c15:layout>
            </c:ext>
          </c:extLst>
        </c:dLbl>
      </c:pivotFmt>
    </c:pivotFmts>
    <c:plotArea>
      <c:layout/>
      <c:doughnutChart>
        <c:varyColors val="1"/>
        <c:ser>
          <c:idx val="0"/>
          <c:order val="0"/>
          <c:tx>
            <c:strRef>
              <c:f>Pivot4!$I$3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6.1538461538461445E-2"/>
                  <c:y val="0.15718157181571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7435897435897436"/>
                      <c:h val="0.22802210699272346"/>
                    </c:manualLayout>
                  </c15:layout>
                </c:ext>
              </c:extLst>
            </c:dLbl>
            <c:dLbl>
              <c:idx val="1"/>
              <c:layout>
                <c:manualLayout>
                  <c:x val="-7.6923076923076927E-2"/>
                  <c:y val="0.1734421611932654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34358974358974359"/>
                      <c:h val="0.21344173441734413"/>
                    </c:manualLayout>
                  </c15:layout>
                </c:ext>
              </c:extLst>
            </c:dLbl>
            <c:dLbl>
              <c:idx val="2"/>
              <c:layout>
                <c:manualLayout>
                  <c:x val="-0.15384615384615385"/>
                  <c:y val="-8.6720867208672087E-2"/>
                </c:manualLayout>
              </c:layout>
              <c:showLegendKey val="0"/>
              <c:showVal val="0"/>
              <c:showCatName val="1"/>
              <c:showSerName val="0"/>
              <c:showPercent val="0"/>
              <c:showBubbleSize val="0"/>
              <c:extLst>
                <c:ext xmlns:c15="http://schemas.microsoft.com/office/drawing/2012/chart" uri="{CE6537A1-D6FC-4f65-9D91-7224C49458BB}">
                  <c15:layout>
                    <c:manualLayout>
                      <c:w val="0.31799959620432061"/>
                      <c:h val="0.25680216802168021"/>
                    </c:manualLayout>
                  </c15:layout>
                </c:ext>
              </c:extLst>
            </c:dLbl>
            <c:dLbl>
              <c:idx val="3"/>
              <c:layout>
                <c:manualLayout>
                  <c:x val="0.31081405208964263"/>
                  <c:y val="-0.135501355013550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47296103371693921"/>
                      <c:h val="0.2100813008130081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Pivot4!$H$4:$H$8</c:f>
              <c:strCache>
                <c:ptCount val="4"/>
                <c:pt idx="0">
                  <c:v>Female</c:v>
                </c:pt>
                <c:pt idx="1">
                  <c:v>Male</c:v>
                </c:pt>
                <c:pt idx="2">
                  <c:v>Other</c:v>
                </c:pt>
                <c:pt idx="3">
                  <c:v>Unknown</c:v>
                </c:pt>
              </c:strCache>
            </c:strRef>
          </c:cat>
          <c:val>
            <c:numRef>
              <c:f>Pivot4!$I$4:$I$8</c:f>
              <c:numCache>
                <c:formatCode>General</c:formatCode>
                <c:ptCount val="4"/>
                <c:pt idx="0">
                  <c:v>6272</c:v>
                </c:pt>
                <c:pt idx="1">
                  <c:v>4672</c:v>
                </c:pt>
                <c:pt idx="2">
                  <c:v>317</c:v>
                </c:pt>
                <c:pt idx="3">
                  <c:v>736</c:v>
                </c:pt>
              </c:numCache>
            </c:numRef>
          </c:val>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Ecommerce.xlsx]Pivot3!pvtdaystodeliver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Pivot3!$A$15:$A$30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Pivot3!$B$15:$B$30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er>
        <c:dLbls>
          <c:showLegendKey val="0"/>
          <c:showVal val="0"/>
          <c:showCatName val="0"/>
          <c:showSerName val="0"/>
          <c:showPercent val="0"/>
          <c:showBubbleSize val="0"/>
        </c:dLbls>
        <c:gapWidth val="20"/>
        <c:overlap val="-27"/>
        <c:axId val="1883760416"/>
        <c:axId val="1883760960"/>
      </c:barChart>
      <c:catAx>
        <c:axId val="18837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0960"/>
        <c:crosses val="autoZero"/>
        <c:auto val="1"/>
        <c:lblAlgn val="ctr"/>
        <c:lblOffset val="100"/>
        <c:noMultiLvlLbl val="0"/>
      </c:catAx>
      <c:valAx>
        <c:axId val="188376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0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Ecommerce.xlsx]Pivot3!pvtrating</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manualLayout>
          <c:layoutTarget val="inner"/>
          <c:xMode val="edge"/>
          <c:yMode val="edge"/>
          <c:x val="0.11438951362751211"/>
          <c:y val="0.15347727618621054"/>
          <c:w val="0.74074214330246846"/>
          <c:h val="0.74110301973338633"/>
        </c:manualLayout>
      </c:layout>
      <c:barChart>
        <c:barDir val="col"/>
        <c:grouping val="clustered"/>
        <c:varyColors val="0"/>
        <c:ser>
          <c:idx val="0"/>
          <c:order val="0"/>
          <c:tx>
            <c:strRef>
              <c:f>Pivot3!$E$14:$E$15</c:f>
              <c:strCache>
                <c:ptCount val="1"/>
                <c:pt idx="0">
                  <c:v>1</c:v>
                </c:pt>
              </c:strCache>
            </c:strRef>
          </c:tx>
          <c:spPr>
            <a:solidFill>
              <a:schemeClr val="accent1"/>
            </a:solidFill>
            <a:ln>
              <a:noFill/>
            </a:ln>
            <a:effectLst/>
          </c:spPr>
          <c:invertIfNegative val="0"/>
          <c:cat>
            <c:strRef>
              <c:f>Pivot3!$D$16:$D$19</c:f>
              <c:strCache>
                <c:ptCount val="3"/>
                <c:pt idx="0">
                  <c:v>Jan</c:v>
                </c:pt>
                <c:pt idx="1">
                  <c:v>Feb</c:v>
                </c:pt>
                <c:pt idx="2">
                  <c:v>Mar</c:v>
                </c:pt>
              </c:strCache>
            </c:strRef>
          </c:cat>
          <c:val>
            <c:numRef>
              <c:f>Pivot3!$E$16:$E$19</c:f>
              <c:numCache>
                <c:formatCode>General</c:formatCode>
                <c:ptCount val="3"/>
                <c:pt idx="0">
                  <c:v>7</c:v>
                </c:pt>
                <c:pt idx="1">
                  <c:v>8</c:v>
                </c:pt>
                <c:pt idx="2">
                  <c:v>6</c:v>
                </c:pt>
              </c:numCache>
            </c:numRef>
          </c:val>
        </c:ser>
        <c:ser>
          <c:idx val="1"/>
          <c:order val="1"/>
          <c:tx>
            <c:strRef>
              <c:f>Pivot3!$F$14:$F$15</c:f>
              <c:strCache>
                <c:ptCount val="1"/>
                <c:pt idx="0">
                  <c:v>2</c:v>
                </c:pt>
              </c:strCache>
            </c:strRef>
          </c:tx>
          <c:spPr>
            <a:solidFill>
              <a:schemeClr val="accent2"/>
            </a:solidFill>
            <a:ln>
              <a:noFill/>
            </a:ln>
            <a:effectLst/>
          </c:spPr>
          <c:invertIfNegative val="0"/>
          <c:cat>
            <c:strRef>
              <c:f>Pivot3!$D$16:$D$19</c:f>
              <c:strCache>
                <c:ptCount val="3"/>
                <c:pt idx="0">
                  <c:v>Jan</c:v>
                </c:pt>
                <c:pt idx="1">
                  <c:v>Feb</c:v>
                </c:pt>
                <c:pt idx="2">
                  <c:v>Mar</c:v>
                </c:pt>
              </c:strCache>
            </c:strRef>
          </c:cat>
          <c:val>
            <c:numRef>
              <c:f>Pivot3!$F$16:$F$19</c:f>
              <c:numCache>
                <c:formatCode>General</c:formatCode>
                <c:ptCount val="3"/>
                <c:pt idx="0">
                  <c:v>37</c:v>
                </c:pt>
                <c:pt idx="1">
                  <c:v>51</c:v>
                </c:pt>
                <c:pt idx="2">
                  <c:v>39</c:v>
                </c:pt>
              </c:numCache>
            </c:numRef>
          </c:val>
        </c:ser>
        <c:ser>
          <c:idx val="2"/>
          <c:order val="2"/>
          <c:tx>
            <c:strRef>
              <c:f>Pivot3!$G$14:$G$15</c:f>
              <c:strCache>
                <c:ptCount val="1"/>
                <c:pt idx="0">
                  <c:v>3</c:v>
                </c:pt>
              </c:strCache>
            </c:strRef>
          </c:tx>
          <c:spPr>
            <a:solidFill>
              <a:schemeClr val="accent3"/>
            </a:solidFill>
            <a:ln>
              <a:noFill/>
            </a:ln>
            <a:effectLst/>
          </c:spPr>
          <c:invertIfNegative val="0"/>
          <c:cat>
            <c:strRef>
              <c:f>Pivot3!$D$16:$D$19</c:f>
              <c:strCache>
                <c:ptCount val="3"/>
                <c:pt idx="0">
                  <c:v>Jan</c:v>
                </c:pt>
                <c:pt idx="1">
                  <c:v>Feb</c:v>
                </c:pt>
                <c:pt idx="2">
                  <c:v>Mar</c:v>
                </c:pt>
              </c:strCache>
            </c:strRef>
          </c:cat>
          <c:val>
            <c:numRef>
              <c:f>Pivot3!$G$16:$G$19</c:f>
              <c:numCache>
                <c:formatCode>General</c:formatCode>
                <c:ptCount val="3"/>
                <c:pt idx="0">
                  <c:v>150</c:v>
                </c:pt>
                <c:pt idx="1">
                  <c:v>182</c:v>
                </c:pt>
                <c:pt idx="2">
                  <c:v>163</c:v>
                </c:pt>
              </c:numCache>
            </c:numRef>
          </c:val>
        </c:ser>
        <c:ser>
          <c:idx val="3"/>
          <c:order val="3"/>
          <c:tx>
            <c:strRef>
              <c:f>Pivot3!$H$14:$H$15</c:f>
              <c:strCache>
                <c:ptCount val="1"/>
                <c:pt idx="0">
                  <c:v>4</c:v>
                </c:pt>
              </c:strCache>
            </c:strRef>
          </c:tx>
          <c:spPr>
            <a:solidFill>
              <a:schemeClr val="accent4"/>
            </a:solidFill>
            <a:ln>
              <a:noFill/>
            </a:ln>
            <a:effectLst/>
          </c:spPr>
          <c:invertIfNegative val="0"/>
          <c:cat>
            <c:strRef>
              <c:f>Pivot3!$D$16:$D$19</c:f>
              <c:strCache>
                <c:ptCount val="3"/>
                <c:pt idx="0">
                  <c:v>Jan</c:v>
                </c:pt>
                <c:pt idx="1">
                  <c:v>Feb</c:v>
                </c:pt>
                <c:pt idx="2">
                  <c:v>Mar</c:v>
                </c:pt>
              </c:strCache>
            </c:strRef>
          </c:cat>
          <c:val>
            <c:numRef>
              <c:f>Pivot3!$H$16:$H$19</c:f>
              <c:numCache>
                <c:formatCode>General</c:formatCode>
                <c:ptCount val="3"/>
                <c:pt idx="0">
                  <c:v>312</c:v>
                </c:pt>
                <c:pt idx="1">
                  <c:v>373</c:v>
                </c:pt>
                <c:pt idx="2">
                  <c:v>351</c:v>
                </c:pt>
              </c:numCache>
            </c:numRef>
          </c:val>
        </c:ser>
        <c:ser>
          <c:idx val="4"/>
          <c:order val="4"/>
          <c:tx>
            <c:strRef>
              <c:f>Pivot3!$I$14:$I$15</c:f>
              <c:strCache>
                <c:ptCount val="1"/>
                <c:pt idx="0">
                  <c:v>5</c:v>
                </c:pt>
              </c:strCache>
            </c:strRef>
          </c:tx>
          <c:spPr>
            <a:solidFill>
              <a:schemeClr val="accent5"/>
            </a:solidFill>
            <a:ln>
              <a:noFill/>
            </a:ln>
            <a:effectLst/>
          </c:spPr>
          <c:invertIfNegative val="0"/>
          <c:cat>
            <c:strRef>
              <c:f>Pivot3!$D$16:$D$19</c:f>
              <c:strCache>
                <c:ptCount val="3"/>
                <c:pt idx="0">
                  <c:v>Jan</c:v>
                </c:pt>
                <c:pt idx="1">
                  <c:v>Feb</c:v>
                </c:pt>
                <c:pt idx="2">
                  <c:v>Mar</c:v>
                </c:pt>
              </c:strCache>
            </c:strRef>
          </c:cat>
          <c:val>
            <c:numRef>
              <c:f>Pivot3!$I$16:$I$19</c:f>
              <c:numCache>
                <c:formatCode>General</c:formatCode>
                <c:ptCount val="3"/>
                <c:pt idx="0">
                  <c:v>224</c:v>
                </c:pt>
                <c:pt idx="1">
                  <c:v>247</c:v>
                </c:pt>
                <c:pt idx="2">
                  <c:v>250</c:v>
                </c:pt>
              </c:numCache>
            </c:numRef>
          </c:val>
        </c:ser>
        <c:dLbls>
          <c:showLegendKey val="0"/>
          <c:showVal val="0"/>
          <c:showCatName val="0"/>
          <c:showSerName val="0"/>
          <c:showPercent val="0"/>
          <c:showBubbleSize val="0"/>
        </c:dLbls>
        <c:gapWidth val="219"/>
        <c:overlap val="-27"/>
        <c:axId val="1883761504"/>
        <c:axId val="1883771296"/>
      </c:barChart>
      <c:catAx>
        <c:axId val="18837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71296"/>
        <c:crosses val="autoZero"/>
        <c:auto val="1"/>
        <c:lblAlgn val="ctr"/>
        <c:lblOffset val="100"/>
        <c:noMultiLvlLbl val="0"/>
      </c:catAx>
      <c:valAx>
        <c:axId val="188377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209550</xdr:colOff>
      <xdr:row>0</xdr:row>
      <xdr:rowOff>9525</xdr:rowOff>
    </xdr:from>
    <xdr:to>
      <xdr:col>18</xdr:col>
      <xdr:colOff>590550</xdr:colOff>
      <xdr:row>40</xdr:row>
      <xdr:rowOff>19050</xdr:rowOff>
    </xdr:to>
    <xdr:sp macro="" textlink="">
      <xdr:nvSpPr>
        <xdr:cNvPr id="3" name="Rectangle 2">
          <a:extLst>
            <a:ext uri="{FF2B5EF4-FFF2-40B4-BE49-F238E27FC236}">
              <a16:creationId xmlns:a16="http://schemas.microsoft.com/office/drawing/2014/main" xmlns="" id="{512E711C-2A24-4D4D-87BA-83E9FC8B40D0}"/>
            </a:ext>
          </a:extLst>
        </xdr:cNvPr>
        <xdr:cNvSpPr/>
      </xdr:nvSpPr>
      <xdr:spPr>
        <a:xfrm>
          <a:off x="2162175" y="9525"/>
          <a:ext cx="10496550" cy="7248525"/>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3</xdr:col>
      <xdr:colOff>0</xdr:colOff>
      <xdr:row>40</xdr:row>
      <xdr:rowOff>9525</xdr:rowOff>
    </xdr:to>
    <xdr:sp macro="" textlink="">
      <xdr:nvSpPr>
        <xdr:cNvPr id="2" name="Rectangle 1">
          <a:extLst>
            <a:ext uri="{FF2B5EF4-FFF2-40B4-BE49-F238E27FC236}">
              <a16:creationId xmlns:a16="http://schemas.microsoft.com/office/drawing/2014/main" xmlns="" id="{C0CF5D1E-2563-41D5-BA29-5EAAC61A9C34}"/>
            </a:ext>
          </a:extLst>
        </xdr:cNvPr>
        <xdr:cNvSpPr/>
      </xdr:nvSpPr>
      <xdr:spPr>
        <a:xfrm>
          <a:off x="0" y="1"/>
          <a:ext cx="2209800" cy="7248524"/>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xmlns=""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0</xdr:col>
      <xdr:colOff>228600</xdr:colOff>
      <xdr:row>4</xdr:row>
      <xdr:rowOff>13759</xdr:rowOff>
    </xdr:from>
    <xdr:to>
      <xdr:col>2</xdr:col>
      <xdr:colOff>19050</xdr:colOff>
      <xdr:row>6</xdr:row>
      <xdr:rowOff>23284</xdr:rowOff>
    </xdr:to>
    <xdr:sp macro="" textlink="Pivot1!G4">
      <xdr:nvSpPr>
        <xdr:cNvPr id="5" name="TextBox 4"/>
        <xdr:cNvSpPr txBox="1"/>
      </xdr:nvSpPr>
      <xdr:spPr>
        <a:xfrm>
          <a:off x="228600" y="737659"/>
          <a:ext cx="1743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24A58C-F569-4AB1-9646-5829A6A2A129}" type="TxLink">
            <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2,400</a:t>
          </a:fld>
          <a:endPar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228600</xdr:colOff>
      <xdr:row>7</xdr:row>
      <xdr:rowOff>107951</xdr:rowOff>
    </xdr:from>
    <xdr:to>
      <xdr:col>2</xdr:col>
      <xdr:colOff>19050</xdr:colOff>
      <xdr:row>9</xdr:row>
      <xdr:rowOff>117476</xdr:rowOff>
    </xdr:to>
    <xdr:sp macro="" textlink="Pivot1!H4">
      <xdr:nvSpPr>
        <xdr:cNvPr id="7" name="TextBox 6"/>
        <xdr:cNvSpPr txBox="1"/>
      </xdr:nvSpPr>
      <xdr:spPr>
        <a:xfrm>
          <a:off x="228600" y="1374776"/>
          <a:ext cx="1743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791020-A0DF-49DF-8D70-27C8F52D1573}" type="TxLink">
            <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11,997</a:t>
          </a:fld>
          <a:endPar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228600</xdr:colOff>
      <xdr:row>11</xdr:row>
      <xdr:rowOff>21168</xdr:rowOff>
    </xdr:from>
    <xdr:to>
      <xdr:col>2</xdr:col>
      <xdr:colOff>19050</xdr:colOff>
      <xdr:row>13</xdr:row>
      <xdr:rowOff>30693</xdr:rowOff>
    </xdr:to>
    <xdr:sp macro="" textlink="Pivot1!I4">
      <xdr:nvSpPr>
        <xdr:cNvPr id="8" name="TextBox 7"/>
        <xdr:cNvSpPr txBox="1"/>
      </xdr:nvSpPr>
      <xdr:spPr>
        <a:xfrm>
          <a:off x="228600" y="2011893"/>
          <a:ext cx="1743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E1A190-27DE-49EA-96EA-E0F3457F695C}" type="TxLink">
            <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649.0K</a:t>
          </a:fld>
          <a:endPar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228600</xdr:colOff>
      <xdr:row>14</xdr:row>
      <xdr:rowOff>115360</xdr:rowOff>
    </xdr:from>
    <xdr:to>
      <xdr:col>2</xdr:col>
      <xdr:colOff>19050</xdr:colOff>
      <xdr:row>16</xdr:row>
      <xdr:rowOff>124885</xdr:rowOff>
    </xdr:to>
    <xdr:sp macro="" textlink="Pivot1!J4">
      <xdr:nvSpPr>
        <xdr:cNvPr id="9" name="TextBox 8"/>
        <xdr:cNvSpPr txBox="1"/>
      </xdr:nvSpPr>
      <xdr:spPr>
        <a:xfrm>
          <a:off x="228600" y="2649010"/>
          <a:ext cx="1743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C3DCB7-36C7-423D-B832-CA9473B7FDE2}" type="TxLink">
            <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4.0</a:t>
          </a:fld>
          <a:endPar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228600</xdr:colOff>
      <xdr:row>18</xdr:row>
      <xdr:rowOff>28575</xdr:rowOff>
    </xdr:from>
    <xdr:to>
      <xdr:col>2</xdr:col>
      <xdr:colOff>19050</xdr:colOff>
      <xdr:row>20</xdr:row>
      <xdr:rowOff>38100</xdr:rowOff>
    </xdr:to>
    <xdr:sp macro="" textlink="Pivot1!K4">
      <xdr:nvSpPr>
        <xdr:cNvPr id="10" name="TextBox 9"/>
        <xdr:cNvSpPr txBox="1"/>
      </xdr:nvSpPr>
      <xdr:spPr>
        <a:xfrm>
          <a:off x="228600" y="3286125"/>
          <a:ext cx="17430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39AEBC-22DF-42B8-9418-6AFFAE99BDC5}" type="TxLink">
            <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rPr>
            <a:pPr marL="0" indent="0"/>
            <a:t>2.3</a:t>
          </a:fld>
          <a:endParaRPr lang="en-US" sz="1400" b="1" i="0" u="none" strike="noStrike">
            <a:gradFill>
              <a:gsLst>
                <a:gs pos="0">
                  <a:schemeClr val="bg1"/>
                </a:gs>
                <a:gs pos="74000">
                  <a:schemeClr val="bg1">
                    <a:lumMod val="75000"/>
                  </a:schemeClr>
                </a:gs>
              </a:gsLst>
              <a:lin ang="5400000" scaled="1"/>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0</xdr:col>
      <xdr:colOff>228600</xdr:colOff>
      <xdr:row>2</xdr:row>
      <xdr:rowOff>114301</xdr:rowOff>
    </xdr:from>
    <xdr:to>
      <xdr:col>2</xdr:col>
      <xdr:colOff>38100</xdr:colOff>
      <xdr:row>4</xdr:row>
      <xdr:rowOff>9525</xdr:rowOff>
    </xdr:to>
    <xdr:sp macro="" textlink="">
      <xdr:nvSpPr>
        <xdr:cNvPr id="11" name="TextBox 10"/>
        <xdr:cNvSpPr txBox="1"/>
      </xdr:nvSpPr>
      <xdr:spPr>
        <a:xfrm>
          <a:off x="228600" y="476251"/>
          <a:ext cx="17621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gradFill>
                <a:gsLst>
                  <a:gs pos="0">
                    <a:schemeClr val="bg1"/>
                  </a:gs>
                  <a:gs pos="74000">
                    <a:schemeClr val="bg1">
                      <a:lumMod val="75000"/>
                    </a:schemeClr>
                  </a:gs>
                </a:gsLst>
                <a:lin ang="5400000" scaled="1"/>
              </a:gradFill>
            </a:rPr>
            <a:t>🛒 Orders</a:t>
          </a:r>
        </a:p>
      </xdr:txBody>
    </xdr:sp>
    <xdr:clientData/>
  </xdr:twoCellAnchor>
  <xdr:twoCellAnchor>
    <xdr:from>
      <xdr:col>0</xdr:col>
      <xdr:colOff>228600</xdr:colOff>
      <xdr:row>6</xdr:row>
      <xdr:rowOff>27518</xdr:rowOff>
    </xdr:from>
    <xdr:to>
      <xdr:col>2</xdr:col>
      <xdr:colOff>38100</xdr:colOff>
      <xdr:row>7</xdr:row>
      <xdr:rowOff>103717</xdr:rowOff>
    </xdr:to>
    <xdr:sp macro="" textlink="">
      <xdr:nvSpPr>
        <xdr:cNvPr id="15" name="TextBox 14"/>
        <xdr:cNvSpPr txBox="1"/>
      </xdr:nvSpPr>
      <xdr:spPr>
        <a:xfrm>
          <a:off x="228600" y="1113368"/>
          <a:ext cx="17621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gradFill>
                <a:gsLst>
                  <a:gs pos="0">
                    <a:schemeClr val="bg1"/>
                  </a:gs>
                  <a:gs pos="74000">
                    <a:schemeClr val="bg1">
                      <a:lumMod val="75000"/>
                    </a:schemeClr>
                  </a:gs>
                </a:gsLst>
                <a:lin ang="5400000" scaled="1"/>
              </a:gradFill>
            </a:rPr>
            <a:t>👕 Quantity</a:t>
          </a:r>
        </a:p>
      </xdr:txBody>
    </xdr:sp>
    <xdr:clientData/>
  </xdr:twoCellAnchor>
  <xdr:twoCellAnchor>
    <xdr:from>
      <xdr:col>0</xdr:col>
      <xdr:colOff>228600</xdr:colOff>
      <xdr:row>9</xdr:row>
      <xdr:rowOff>121710</xdr:rowOff>
    </xdr:from>
    <xdr:to>
      <xdr:col>2</xdr:col>
      <xdr:colOff>38100</xdr:colOff>
      <xdr:row>11</xdr:row>
      <xdr:rowOff>16934</xdr:rowOff>
    </xdr:to>
    <xdr:sp macro="" textlink="">
      <xdr:nvSpPr>
        <xdr:cNvPr id="16" name="TextBox 15"/>
        <xdr:cNvSpPr txBox="1"/>
      </xdr:nvSpPr>
      <xdr:spPr>
        <a:xfrm>
          <a:off x="228600" y="1750485"/>
          <a:ext cx="17621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gradFill>
                <a:gsLst>
                  <a:gs pos="0">
                    <a:schemeClr val="bg1"/>
                  </a:gs>
                  <a:gs pos="74000">
                    <a:schemeClr val="bg1">
                      <a:lumMod val="75000"/>
                    </a:schemeClr>
                  </a:gs>
                </a:gsLst>
                <a:lin ang="5400000" scaled="1"/>
              </a:gradFill>
            </a:rPr>
            <a:t>💰 Amount</a:t>
          </a:r>
        </a:p>
      </xdr:txBody>
    </xdr:sp>
    <xdr:clientData/>
  </xdr:twoCellAnchor>
  <xdr:twoCellAnchor>
    <xdr:from>
      <xdr:col>0</xdr:col>
      <xdr:colOff>228600</xdr:colOff>
      <xdr:row>13</xdr:row>
      <xdr:rowOff>34927</xdr:rowOff>
    </xdr:from>
    <xdr:to>
      <xdr:col>2</xdr:col>
      <xdr:colOff>38100</xdr:colOff>
      <xdr:row>14</xdr:row>
      <xdr:rowOff>111126</xdr:rowOff>
    </xdr:to>
    <xdr:sp macro="" textlink="">
      <xdr:nvSpPr>
        <xdr:cNvPr id="17" name="TextBox 16"/>
        <xdr:cNvSpPr txBox="1"/>
      </xdr:nvSpPr>
      <xdr:spPr>
        <a:xfrm>
          <a:off x="228600" y="2387602"/>
          <a:ext cx="17621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gradFill>
                <a:gsLst>
                  <a:gs pos="0">
                    <a:schemeClr val="bg1"/>
                  </a:gs>
                  <a:gs pos="74000">
                    <a:schemeClr val="bg1">
                      <a:lumMod val="75000"/>
                    </a:schemeClr>
                  </a:gs>
                </a:gsLst>
                <a:lin ang="5400000" scaled="1"/>
              </a:gradFill>
            </a:rPr>
            <a:t>⭐ </a:t>
          </a:r>
          <a:r>
            <a:rPr lang="en-US" sz="1000">
              <a:gradFill>
                <a:gsLst>
                  <a:gs pos="0">
                    <a:schemeClr val="bg1"/>
                  </a:gs>
                  <a:gs pos="74000">
                    <a:schemeClr val="bg1">
                      <a:lumMod val="75000"/>
                    </a:schemeClr>
                  </a:gs>
                </a:gsLst>
                <a:lin ang="5400000" scaled="1"/>
              </a:gradFill>
            </a:rPr>
            <a:t>Avg</a:t>
          </a:r>
          <a:r>
            <a:rPr lang="en-US" sz="1000" baseline="0">
              <a:gradFill>
                <a:gsLst>
                  <a:gs pos="0">
                    <a:schemeClr val="bg1"/>
                  </a:gs>
                  <a:gs pos="74000">
                    <a:schemeClr val="bg1">
                      <a:lumMod val="75000"/>
                    </a:schemeClr>
                  </a:gs>
                </a:gsLst>
                <a:lin ang="5400000" scaled="1"/>
              </a:gradFill>
            </a:rPr>
            <a:t> Rating</a:t>
          </a:r>
          <a:endParaRPr lang="en-US" sz="1000">
            <a:gradFill>
              <a:gsLst>
                <a:gs pos="0">
                  <a:schemeClr val="bg1"/>
                </a:gs>
                <a:gs pos="74000">
                  <a:schemeClr val="bg1">
                    <a:lumMod val="75000"/>
                  </a:schemeClr>
                </a:gs>
              </a:gsLst>
              <a:lin ang="5400000" scaled="1"/>
            </a:gradFill>
          </a:endParaRPr>
        </a:p>
      </xdr:txBody>
    </xdr:sp>
    <xdr:clientData/>
  </xdr:twoCellAnchor>
  <xdr:twoCellAnchor>
    <xdr:from>
      <xdr:col>0</xdr:col>
      <xdr:colOff>228600</xdr:colOff>
      <xdr:row>16</xdr:row>
      <xdr:rowOff>129119</xdr:rowOff>
    </xdr:from>
    <xdr:to>
      <xdr:col>2</xdr:col>
      <xdr:colOff>38100</xdr:colOff>
      <xdr:row>18</xdr:row>
      <xdr:rowOff>24343</xdr:rowOff>
    </xdr:to>
    <xdr:sp macro="" textlink="">
      <xdr:nvSpPr>
        <xdr:cNvPr id="18" name="TextBox 17"/>
        <xdr:cNvSpPr txBox="1"/>
      </xdr:nvSpPr>
      <xdr:spPr>
        <a:xfrm>
          <a:off x="228600" y="3024719"/>
          <a:ext cx="17621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gradFill>
                <a:gsLst>
                  <a:gs pos="0">
                    <a:schemeClr val="bg1"/>
                  </a:gs>
                  <a:gs pos="74000">
                    <a:schemeClr val="bg1">
                      <a:lumMod val="75000"/>
                    </a:schemeClr>
                  </a:gs>
                </a:gsLst>
                <a:lin ang="5400000" scaled="1"/>
              </a:gradFill>
            </a:rPr>
            <a:t>📆 Days</a:t>
          </a:r>
          <a:r>
            <a:rPr lang="en-US" sz="1000" baseline="0">
              <a:gradFill>
                <a:gsLst>
                  <a:gs pos="0">
                    <a:schemeClr val="bg1"/>
                  </a:gs>
                  <a:gs pos="74000">
                    <a:schemeClr val="bg1">
                      <a:lumMod val="75000"/>
                    </a:schemeClr>
                  </a:gs>
                </a:gsLst>
                <a:lin ang="5400000" scaled="1"/>
              </a:gradFill>
            </a:rPr>
            <a:t> To Deliver</a:t>
          </a:r>
          <a:endParaRPr lang="en-US" sz="1000">
            <a:gradFill>
              <a:gsLst>
                <a:gs pos="0">
                  <a:schemeClr val="bg1"/>
                </a:gs>
                <a:gs pos="74000">
                  <a:schemeClr val="bg1">
                    <a:lumMod val="75000"/>
                  </a:schemeClr>
                </a:gs>
              </a:gsLst>
              <a:lin ang="5400000" scaled="1"/>
            </a:gradFill>
          </a:endParaRPr>
        </a:p>
      </xdr:txBody>
    </xdr:sp>
    <xdr:clientData/>
  </xdr:twoCellAnchor>
  <xdr:twoCellAnchor>
    <xdr:from>
      <xdr:col>3</xdr:col>
      <xdr:colOff>228599</xdr:colOff>
      <xdr:row>2</xdr:row>
      <xdr:rowOff>9526</xdr:rowOff>
    </xdr:from>
    <xdr:to>
      <xdr:col>8</xdr:col>
      <xdr:colOff>209549</xdr:colOff>
      <xdr:row>15</xdr:row>
      <xdr:rowOff>38101</xdr:rowOff>
    </xdr:to>
    <xdr:graphicFrame macro="">
      <xdr:nvGraphicFramePr>
        <xdr:cNvPr id="19" name="Last 13 Week Trend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438150</xdr:colOff>
      <xdr:row>2</xdr:row>
      <xdr:rowOff>28575</xdr:rowOff>
    </xdr:from>
    <xdr:to>
      <xdr:col>13</xdr:col>
      <xdr:colOff>409575</xdr:colOff>
      <xdr:row>15</xdr:row>
      <xdr:rowOff>19050</xdr:rowOff>
    </xdr:to>
    <xdr:sp macro="" textlink="">
      <xdr:nvSpPr>
        <xdr:cNvPr id="24" name="Rectangle 23"/>
        <xdr:cNvSpPr/>
      </xdr:nvSpPr>
      <xdr:spPr>
        <a:xfrm>
          <a:off x="5648325" y="390525"/>
          <a:ext cx="3400425" cy="234315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460482</xdr:colOff>
          <xdr:row>5</xdr:row>
          <xdr:rowOff>95251</xdr:rowOff>
        </xdr:from>
        <xdr:to>
          <xdr:col>13</xdr:col>
          <xdr:colOff>311826</xdr:colOff>
          <xdr:row>13</xdr:row>
          <xdr:rowOff>1</xdr:rowOff>
        </xdr:to>
        <xdr:pic>
          <xdr:nvPicPr>
            <xdr:cNvPr id="23" name="Picture 22"/>
            <xdr:cNvPicPr>
              <a:picLocks noChangeAspect="1" noChangeArrowheads="1"/>
              <a:extLst>
                <a:ext uri="{84589F7E-364E-4C9E-8A38-B11213B215E9}">
                  <a14:cameraTool cellRange="Pivot2!$H$4:$L$9" spid="_x0000_s1038"/>
                </a:ext>
              </a:extLst>
            </xdr:cNvPicPr>
          </xdr:nvPicPr>
          <xdr:blipFill>
            <a:blip xmlns:r="http://schemas.openxmlformats.org/officeDocument/2006/relationships" r:embed="rId3"/>
            <a:srcRect/>
            <a:stretch>
              <a:fillRect/>
            </a:stretch>
          </xdr:blipFill>
          <xdr:spPr bwMode="auto">
            <a:xfrm>
              <a:off x="5670657" y="1000126"/>
              <a:ext cx="3280344" cy="13525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581025</xdr:colOff>
      <xdr:row>2</xdr:row>
      <xdr:rowOff>19050</xdr:rowOff>
    </xdr:from>
    <xdr:to>
      <xdr:col>18</xdr:col>
      <xdr:colOff>219075</xdr:colOff>
      <xdr:row>15</xdr:row>
      <xdr:rowOff>28575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228600</xdr:colOff>
      <xdr:row>17</xdr:row>
      <xdr:rowOff>19049</xdr:rowOff>
    </xdr:from>
    <xdr:to>
      <xdr:col>8</xdr:col>
      <xdr:colOff>276225</xdr:colOff>
      <xdr:row>37</xdr:row>
      <xdr:rowOff>161925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600075</xdr:colOff>
      <xdr:row>29</xdr:row>
      <xdr:rowOff>95250</xdr:rowOff>
    </xdr:from>
    <xdr:to>
      <xdr:col>6</xdr:col>
      <xdr:colOff>466725</xdr:colOff>
      <xdr:row>36</xdr:row>
      <xdr:rowOff>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533401</xdr:colOff>
      <xdr:row>17</xdr:row>
      <xdr:rowOff>9525</xdr:rowOff>
    </xdr:from>
    <xdr:to>
      <xdr:col>13</xdr:col>
      <xdr:colOff>438150</xdr:colOff>
      <xdr:row>37</xdr:row>
      <xdr:rowOff>152400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628651</xdr:colOff>
      <xdr:row>17</xdr:row>
      <xdr:rowOff>28576</xdr:rowOff>
    </xdr:from>
    <xdr:to>
      <xdr:col>18</xdr:col>
      <xdr:colOff>247651</xdr:colOff>
      <xdr:row>37</xdr:row>
      <xdr:rowOff>161926</xdr:rowOff>
    </xdr:to>
    <xdr:graphicFrame macro="">
      <xdr:nvGraphicFramePr>
        <xdr:cNvPr id="29" name="How satisfied are our Customer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209550</xdr:colOff>
      <xdr:row>20</xdr:row>
      <xdr:rowOff>9525</xdr:rowOff>
    </xdr:from>
    <xdr:to>
      <xdr:col>2</xdr:col>
      <xdr:colOff>0</xdr:colOff>
      <xdr:row>29</xdr:row>
      <xdr:rowOff>85725</xdr:rowOff>
    </xdr:to>
    <mc:AlternateContent xmlns:mc="http://schemas.openxmlformats.org/markup-compatibility/2006" xmlns:a14="http://schemas.microsoft.com/office/drawing/2010/main">
      <mc:Choice Requires="a14">
        <xdr:graphicFrame macro="">
          <xdr:nvGraphicFramePr>
            <xdr:cNvPr id="30"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9550" y="3629025"/>
              <a:ext cx="17430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29</xdr:row>
      <xdr:rowOff>171449</xdr:rowOff>
    </xdr:from>
    <xdr:to>
      <xdr:col>1</xdr:col>
      <xdr:colOff>1685926</xdr:colOff>
      <xdr:row>38</xdr:row>
      <xdr:rowOff>76199</xdr:rowOff>
    </xdr:to>
    <mc:AlternateContent xmlns:mc="http://schemas.openxmlformats.org/markup-compatibility/2006" xmlns:a14="http://schemas.microsoft.com/office/drawing/2010/main">
      <mc:Choice Requires="a14">
        <xdr:graphicFrame macro="">
          <xdr:nvGraphicFramePr>
            <xdr:cNvPr id="31" name="Gender Value"/>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0501" y="5419724"/>
              <a:ext cx="17526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523875</xdr:colOff>
      <xdr:row>2</xdr:row>
      <xdr:rowOff>114300</xdr:rowOff>
    </xdr:from>
    <xdr:to>
      <xdr:col>12</xdr:col>
      <xdr:colOff>95250</xdr:colOff>
      <xdr:row>4</xdr:row>
      <xdr:rowOff>28575</xdr:rowOff>
    </xdr:to>
    <xdr:sp macro="" textlink="">
      <xdr:nvSpPr>
        <xdr:cNvPr id="32" name="TextBox 31"/>
        <xdr:cNvSpPr txBox="1"/>
      </xdr:nvSpPr>
      <xdr:spPr>
        <a:xfrm>
          <a:off x="6419850" y="476250"/>
          <a:ext cx="162877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 they like</a:t>
          </a:r>
          <a:r>
            <a:rPr lang="en-US" sz="1100" baseline="0"/>
            <a:t> to buy?</a:t>
          </a:r>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0.17778</cdr:x>
      <cdr:y>0.03684</cdr:y>
    </cdr:from>
    <cdr:to>
      <cdr:x>0.77778</cdr:x>
      <cdr:y>0.13158</cdr:y>
    </cdr:to>
    <cdr:sp macro="" textlink="">
      <cdr:nvSpPr>
        <cdr:cNvPr id="2" name="TextBox 1"/>
        <cdr:cNvSpPr txBox="1"/>
      </cdr:nvSpPr>
      <cdr:spPr>
        <a:xfrm xmlns:a="http://schemas.openxmlformats.org/drawingml/2006/main">
          <a:off x="609599" y="66674"/>
          <a:ext cx="2057400" cy="171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0.21667</cdr:x>
      <cdr:y>0.03684</cdr:y>
    </cdr:from>
    <cdr:to>
      <cdr:x>0.80278</cdr:x>
      <cdr:y>0.14737</cdr:y>
    </cdr:to>
    <cdr:sp macro="" textlink="">
      <cdr:nvSpPr>
        <cdr:cNvPr id="3" name="TextBox 2"/>
        <cdr:cNvSpPr txBox="1"/>
      </cdr:nvSpPr>
      <cdr:spPr>
        <a:xfrm xmlns:a="http://schemas.openxmlformats.org/drawingml/2006/main">
          <a:off x="742949" y="66674"/>
          <a:ext cx="200977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Last 13 Week Trends</a:t>
          </a:r>
        </a:p>
      </cdr:txBody>
    </cdr:sp>
  </cdr:relSizeAnchor>
</c:userShapes>
</file>

<file path=xl/drawings/drawing3.xml><?xml version="1.0" encoding="utf-8"?>
<c:userShapes xmlns:c="http://schemas.openxmlformats.org/drawingml/2006/chart">
  <cdr:relSizeAnchor xmlns:cdr="http://schemas.openxmlformats.org/drawingml/2006/chartDrawing">
    <cdr:from>
      <cdr:x>0.10423</cdr:x>
      <cdr:y>0.0165</cdr:y>
    </cdr:from>
    <cdr:to>
      <cdr:x>0.7662</cdr:x>
      <cdr:y>0.09901</cdr:y>
    </cdr:to>
    <cdr:sp macro="" textlink="">
      <cdr:nvSpPr>
        <cdr:cNvPr id="2" name="TextBox 1"/>
        <cdr:cNvSpPr txBox="1"/>
      </cdr:nvSpPr>
      <cdr:spPr>
        <a:xfrm xmlns:a="http://schemas.openxmlformats.org/drawingml/2006/main">
          <a:off x="352426" y="47626"/>
          <a:ext cx="22383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Which Products are Popular?</a:t>
          </a:r>
        </a:p>
      </cdr:txBody>
    </cdr:sp>
  </cdr:relSizeAnchor>
</c:userShapes>
</file>

<file path=xl/drawings/drawing4.xml><?xml version="1.0" encoding="utf-8"?>
<c:userShapes xmlns:c="http://schemas.openxmlformats.org/drawingml/2006/chart">
  <cdr:relSizeAnchor xmlns:cdr="http://schemas.openxmlformats.org/drawingml/2006/chartDrawing">
    <cdr:from>
      <cdr:x>0.1349</cdr:x>
      <cdr:y>0.03237</cdr:y>
    </cdr:from>
    <cdr:to>
      <cdr:x>0.91202</cdr:x>
      <cdr:y>0.14388</cdr:y>
    </cdr:to>
    <cdr:sp macro="" textlink="">
      <cdr:nvSpPr>
        <cdr:cNvPr id="2" name="TextBox 1"/>
        <cdr:cNvSpPr txBox="1"/>
      </cdr:nvSpPr>
      <cdr:spPr>
        <a:xfrm xmlns:a="http://schemas.openxmlformats.org/drawingml/2006/main">
          <a:off x="438149" y="85725"/>
          <a:ext cx="252412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How satisfied are our Customers?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it" refreshedDate="46160.491174074072" createdVersion="5" refreshedVersion="5" minRefreshableVersion="3" recordCount="2400">
  <cacheSource type="worksheet">
    <worksheetSource name="orders"/>
  </cacheSource>
  <cacheFields count="16">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base="5">
        <rangePr groupBy="months" startDate="2025-01-01T00:00:00" endDate="2025-03-30T00:00:00"/>
        <groupItems count="14">
          <s v="&lt;1/1/2025"/>
          <s v="Jan"/>
          <s v="Feb"/>
          <s v="Mar"/>
          <s v="Apr"/>
          <s v="May"/>
          <s v="Jun"/>
          <s v="Jul"/>
          <s v="Aug"/>
          <s v="Sep"/>
          <s v="Oct"/>
          <s v="Nov"/>
          <s v="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tamtqt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6:C20"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numFmtId="164"/>
  </dataField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vtsummary"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22">
  <location ref="D6:G64"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pvtgen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15">
        <item x="0"/>
        <item x="1"/>
        <item x="2"/>
        <item x="3"/>
        <item x="4"/>
        <item x="5"/>
        <item x="6"/>
        <item x="7"/>
        <item x="8"/>
        <item x="9"/>
        <item x="10"/>
        <item x="11"/>
        <item x="12"/>
        <item x="13"/>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vttxid"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1" firstHeaderRow="1" firstDataRow="1" firstDataCol="1"/>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0"/>
        <item x="1"/>
        <item x="2"/>
        <item x="4"/>
        <item x="3"/>
        <item n="6 To 10_x000a_" x="5"/>
        <item n="More Than 10" x="6"/>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vtrating"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D14:J19" firstHeaderRow="1" firstDataRow="2" firstDataCol="1"/>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4"/>
        <item x="3"/>
        <item n="6 To 10_x000a_" x="5"/>
        <item n="More Than 10" x="6"/>
      </items>
    </pivotField>
  </pivotFields>
  <rowFields count="1">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3" format="13" series="1">
      <pivotArea type="data" outline="0" fieldPosition="0">
        <references count="2">
          <reference field="4294967294" count="1" selected="0">
            <x v="0"/>
          </reference>
          <reference field="9" count="1" selected="0">
            <x v="0"/>
          </reference>
        </references>
      </pivotArea>
    </chartFormat>
    <chartFormat chart="13" format="14" series="1">
      <pivotArea type="data" outline="0" fieldPosition="0">
        <references count="2">
          <reference field="4294967294" count="1" selected="0">
            <x v="0"/>
          </reference>
          <reference field="9" count="1" selected="0">
            <x v="1"/>
          </reference>
        </references>
      </pivotArea>
    </chartFormat>
    <chartFormat chart="13" format="15" series="1">
      <pivotArea type="data" outline="0" fieldPosition="0">
        <references count="2">
          <reference field="4294967294" count="1" selected="0">
            <x v="0"/>
          </reference>
          <reference field="9" count="1" selected="0">
            <x v="2"/>
          </reference>
        </references>
      </pivotArea>
    </chartFormat>
    <chartFormat chart="13" format="16" series="1">
      <pivotArea type="data" outline="0" fieldPosition="0">
        <references count="2">
          <reference field="4294967294" count="1" selected="0">
            <x v="0"/>
          </reference>
          <reference field="9" count="1" selected="0">
            <x v="3"/>
          </reference>
        </references>
      </pivotArea>
    </chartFormat>
    <chartFormat chart="1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tdaystodeliv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4:B30" firstHeaderRow="1" firstDataRow="1" firstDataCol="1"/>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4"/>
        <item x="3"/>
        <item n="6 To 10_x000a_" x="5"/>
        <item n="More Than 10"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tgenderval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H3:I8" firstHeaderRow="1" firstDataRow="1" firstDataCol="1"/>
  <pivotFields count="16">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7" format="0" series="1">
      <pivotArea type="data" outline="0" fieldPosition="0">
        <references count="2">
          <reference field="4294967294" count="1" selected="0">
            <x v="0"/>
          </reference>
          <reference field="14" count="1" selected="0">
            <x v="0"/>
          </reference>
        </references>
      </pivotArea>
    </chartFormat>
    <chartFormat chart="7"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2">
          <reference field="4294967294" count="1" selected="0">
            <x v="0"/>
          </reference>
          <reference field="14" count="1" selected="0">
            <x v="3"/>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4" count="1" selected="0">
            <x v="0"/>
          </reference>
        </references>
      </pivotArea>
    </chartFormat>
    <chartFormat chart="17" format="8">
      <pivotArea type="data" outline="0" fieldPosition="0">
        <references count="2">
          <reference field="4294967294" count="1" selected="0">
            <x v="0"/>
          </reference>
          <reference field="14" count="1" selected="0">
            <x v="1"/>
          </reference>
        </references>
      </pivotArea>
    </chartFormat>
    <chartFormat chart="17" format="9">
      <pivotArea type="data" outline="0" fieldPosition="0">
        <references count="2">
          <reference field="4294967294" count="1" selected="0">
            <x v="0"/>
          </reference>
          <reference field="14" count="1" selected="0">
            <x v="2"/>
          </reference>
        </references>
      </pivotArea>
    </chartFormat>
    <chartFormat chart="1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vtproduc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15">
        <item x="0"/>
        <item x="1"/>
        <item x="2"/>
        <item x="3"/>
        <item x="4"/>
        <item x="5"/>
        <item x="6"/>
        <item x="7"/>
        <item x="8"/>
        <item x="9"/>
        <item x="10"/>
        <item x="11"/>
        <item x="12"/>
        <item x="13"/>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pivotTables>
    <pivotTable tabId="8" name="pvtrating"/>
    <pivotTable tabId="5" name="pvtamtqty"/>
    <pivotTable tabId="5" name="Pvtsummary"/>
    <pivotTable tabId="7" name="pvtgender"/>
    <pivotTable tabId="8" name="pvtdaystodeliver"/>
    <pivotTable tabId="8" name="pvttxid"/>
    <pivotTable tabId="9" name="pvtgendervalue"/>
    <pivotTable tabId="9" name="pvtproduct"/>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_Value" sourceName="Gender Value">
  <pivotTables>
    <pivotTable tabId="8" name="pvtrating"/>
    <pivotTable tabId="5" name="pvtamtqty"/>
    <pivotTable tabId="5" name="Pvtsummary"/>
    <pivotTable tabId="7" name="pvtgender"/>
    <pivotTable tabId="8" name="pvtdaystodeliver"/>
    <pivotTable tabId="8" name="pvttxid"/>
    <pivotTable tabId="9" name="pvtgendervalue"/>
    <pivotTable tabId="9" name="pvtproduct"/>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rowHeight="241300"/>
  <slicer name="Gender Value" cache="Slicer_Gender_Value" caption="Gender Value" rowHeight="241300"/>
</slicers>
</file>

<file path=xl/tables/table1.xml><?xml version="1.0" encoding="utf-8"?>
<table xmlns="http://schemas.openxmlformats.org/spreadsheetml/2006/main" id="1" name="orders" displayName="orders" ref="A1:O2401" totalsRowShown="0">
  <tableColumns count="15">
    <tableColumn id="1" name="TX ID"/>
    <tableColumn id="2" name="Product"/>
    <tableColumn id="3" name="Quantity"/>
    <tableColumn id="4" name="Unit Price"/>
    <tableColumn id="5" name="Amount"/>
    <tableColumn id="6" name="Order Date" dataDxfId="4"/>
    <tableColumn id="7" name="Ship Date" dataDxfId="3"/>
    <tableColumn id="8" name="Customer Gender"/>
    <tableColumn id="9" name="Order Mode"/>
    <tableColumn id="10" name="Rating C"/>
    <tableColumn id="15" name="State"/>
    <tableColumn id="14" name="County"/>
    <tableColumn id="11" name="Days to Deliver" dataDxfId="2">
      <calculatedColumnFormula>orders[[#This Row],[Ship Date]]-orders[[#This Row],[Order Date]]</calculatedColumnFormula>
    </tableColumn>
    <tableColumn id="12" name="Weeknum" dataDxfId="1">
      <calculatedColumnFormula>WEEKNUM(orders[[#This Row],[Order Date]])</calculatedColumnFormula>
    </tableColumn>
    <tableColumn id="13"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cal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5"/>
  <sheetViews>
    <sheetView topLeftCell="D1" workbookViewId="0">
      <selection activeCell="G2" sqref="G2"/>
    </sheetView>
  </sheetViews>
  <sheetFormatPr defaultRowHeight="14.25"/>
  <cols>
    <col min="1" max="1" width="14" customWidth="1"/>
    <col min="2" max="2" width="15" customWidth="1"/>
    <col min="3" max="3" width="14.25" customWidth="1"/>
    <col min="4" max="4" width="18.875" customWidth="1"/>
    <col min="5" max="5" width="24.875" customWidth="1"/>
    <col min="6" max="6" width="15" bestFit="1" customWidth="1"/>
    <col min="7" max="7" width="14.25" bestFit="1" customWidth="1"/>
  </cols>
  <sheetData>
    <row r="2" spans="1:16">
      <c r="G2" t="s">
        <v>2524</v>
      </c>
    </row>
    <row r="3" spans="1:16">
      <c r="A3" t="s">
        <v>2519</v>
      </c>
      <c r="B3" t="s">
        <v>2520</v>
      </c>
      <c r="C3" t="s">
        <v>2521</v>
      </c>
      <c r="D3" t="s">
        <v>2522</v>
      </c>
      <c r="E3" t="s">
        <v>2523</v>
      </c>
      <c r="G3" t="s">
        <v>2518</v>
      </c>
      <c r="H3" t="s">
        <v>2525</v>
      </c>
      <c r="I3" t="s">
        <v>4</v>
      </c>
      <c r="J3" t="s">
        <v>2507</v>
      </c>
      <c r="K3" t="s">
        <v>2526</v>
      </c>
    </row>
    <row r="4" spans="1:16">
      <c r="A4" s="5">
        <v>2400</v>
      </c>
      <c r="B4" s="5">
        <v>11997</v>
      </c>
      <c r="C4" s="5">
        <v>649019.80000000144</v>
      </c>
      <c r="D4" s="5">
        <v>3.9620833333333332</v>
      </c>
      <c r="E4" s="5">
        <v>2.3424999999999998</v>
      </c>
      <c r="G4" t="str">
        <f>TEXT(A4,"#,##")</f>
        <v>2,400</v>
      </c>
      <c r="H4" t="str">
        <f t="shared" ref="H4" si="0">TEXT(B4,"#,##")</f>
        <v>11,997</v>
      </c>
      <c r="I4" t="str">
        <f>TEXT(C4,"#,##,.0K")</f>
        <v>649.0K</v>
      </c>
      <c r="J4" t="str">
        <f>TEXT(D4,"0.0")</f>
        <v>4.0</v>
      </c>
      <c r="K4" t="str">
        <f>TEXT(E4,"0.0")</f>
        <v>2.3</v>
      </c>
    </row>
    <row r="6" spans="1:16" ht="15">
      <c r="A6" s="7" t="s">
        <v>2527</v>
      </c>
      <c r="B6" t="s">
        <v>2521</v>
      </c>
      <c r="C6" t="s">
        <v>2520</v>
      </c>
      <c r="D6" s="7" t="s">
        <v>10</v>
      </c>
      <c r="E6" s="7" t="s">
        <v>11</v>
      </c>
      <c r="F6" t="s">
        <v>2520</v>
      </c>
      <c r="G6" t="s">
        <v>2521</v>
      </c>
      <c r="P6" s="6"/>
    </row>
    <row r="7" spans="1:16" ht="15">
      <c r="A7" s="8">
        <v>1</v>
      </c>
      <c r="B7" s="5">
        <v>32413.300000000003</v>
      </c>
      <c r="C7" s="9">
        <v>546</v>
      </c>
      <c r="D7" t="s">
        <v>19</v>
      </c>
      <c r="E7" t="s">
        <v>115</v>
      </c>
      <c r="F7" s="5">
        <v>579</v>
      </c>
      <c r="G7" s="5">
        <v>31884.999999999996</v>
      </c>
      <c r="P7" s="6"/>
    </row>
    <row r="8" spans="1:16" ht="15">
      <c r="A8" s="8">
        <v>2</v>
      </c>
      <c r="B8" s="5">
        <v>49562.999999999993</v>
      </c>
      <c r="C8" s="9">
        <v>905</v>
      </c>
      <c r="D8" t="s">
        <v>19</v>
      </c>
      <c r="E8" t="s">
        <v>20</v>
      </c>
      <c r="F8" s="5">
        <v>1</v>
      </c>
      <c r="G8" s="5">
        <v>10.9</v>
      </c>
      <c r="I8" s="20"/>
      <c r="K8" s="5"/>
      <c r="L8" s="20"/>
      <c r="N8" s="5"/>
      <c r="P8" s="6"/>
    </row>
    <row r="9" spans="1:16" ht="15">
      <c r="A9" s="8">
        <v>3</v>
      </c>
      <c r="B9" s="5">
        <v>41700.400000000016</v>
      </c>
      <c r="C9" s="9">
        <v>796</v>
      </c>
      <c r="D9" t="s">
        <v>19</v>
      </c>
      <c r="E9" t="s">
        <v>641</v>
      </c>
      <c r="F9" s="5">
        <v>9</v>
      </c>
      <c r="G9" s="5">
        <v>800.3</v>
      </c>
      <c r="I9" s="20"/>
      <c r="K9" s="5"/>
      <c r="L9" s="20"/>
      <c r="N9" s="5"/>
      <c r="P9" s="6"/>
    </row>
    <row r="10" spans="1:16" ht="15">
      <c r="A10" s="8">
        <v>4</v>
      </c>
      <c r="B10" s="5">
        <v>46782.599999999984</v>
      </c>
      <c r="C10" s="9">
        <v>913</v>
      </c>
      <c r="D10" t="s">
        <v>19</v>
      </c>
      <c r="E10" t="s">
        <v>967</v>
      </c>
      <c r="F10" s="5">
        <v>35</v>
      </c>
      <c r="G10" s="5">
        <v>1062.5999999999999</v>
      </c>
      <c r="I10" s="20"/>
      <c r="K10" s="5"/>
      <c r="L10" s="20"/>
      <c r="N10" s="5"/>
    </row>
    <row r="11" spans="1:16" ht="15">
      <c r="A11" s="8">
        <v>5</v>
      </c>
      <c r="B11" s="5">
        <v>42676.100000000006</v>
      </c>
      <c r="C11" s="9">
        <v>844</v>
      </c>
      <c r="D11" t="s">
        <v>19</v>
      </c>
      <c r="E11" t="s">
        <v>84</v>
      </c>
      <c r="F11" s="5">
        <v>12</v>
      </c>
      <c r="G11" s="5">
        <v>326.20000000000005</v>
      </c>
      <c r="I11" s="20"/>
      <c r="K11" s="5"/>
      <c r="L11" s="20"/>
      <c r="N11" s="5"/>
    </row>
    <row r="12" spans="1:16" ht="15">
      <c r="A12" s="8">
        <v>6</v>
      </c>
      <c r="B12" s="5">
        <v>62910.7</v>
      </c>
      <c r="C12" s="9">
        <v>1202</v>
      </c>
      <c r="D12" t="s">
        <v>19</v>
      </c>
      <c r="E12" t="s">
        <v>1383</v>
      </c>
      <c r="F12" s="5">
        <v>4</v>
      </c>
      <c r="G12" s="5">
        <v>167.5</v>
      </c>
      <c r="I12" s="20"/>
      <c r="K12" s="5"/>
      <c r="L12" s="20"/>
      <c r="N12" s="5"/>
    </row>
    <row r="13" spans="1:16" ht="15">
      <c r="A13" s="8">
        <v>7</v>
      </c>
      <c r="B13" s="5">
        <v>50332.200000000004</v>
      </c>
      <c r="C13" s="9">
        <v>935</v>
      </c>
      <c r="D13" t="s">
        <v>19</v>
      </c>
      <c r="E13" t="s">
        <v>24</v>
      </c>
      <c r="F13" s="5">
        <v>341</v>
      </c>
      <c r="G13" s="5">
        <v>16168.7</v>
      </c>
      <c r="I13" s="20"/>
      <c r="K13" s="5"/>
      <c r="L13" s="20"/>
      <c r="N13" s="5"/>
    </row>
    <row r="14" spans="1:16" ht="15">
      <c r="A14" s="8">
        <v>8</v>
      </c>
      <c r="B14" s="5">
        <v>58760.599999999977</v>
      </c>
      <c r="C14" s="9">
        <v>1128</v>
      </c>
      <c r="D14" t="s">
        <v>19</v>
      </c>
      <c r="E14" t="s">
        <v>2204</v>
      </c>
      <c r="F14" s="5">
        <v>13</v>
      </c>
      <c r="G14" s="5">
        <v>322.40000000000003</v>
      </c>
      <c r="I14" s="20"/>
      <c r="K14" s="5"/>
      <c r="L14" s="20"/>
      <c r="N14" s="5"/>
    </row>
    <row r="15" spans="1:16" ht="15">
      <c r="A15" s="8">
        <v>9</v>
      </c>
      <c r="B15" s="5">
        <v>52017.299999999996</v>
      </c>
      <c r="C15" s="9">
        <v>1007</v>
      </c>
      <c r="D15" t="s">
        <v>19</v>
      </c>
      <c r="E15" t="s">
        <v>437</v>
      </c>
      <c r="F15" s="5">
        <v>31</v>
      </c>
      <c r="G15" s="5">
        <v>2092.8000000000002</v>
      </c>
      <c r="I15" s="20"/>
      <c r="K15" s="5"/>
      <c r="L15" s="20"/>
      <c r="N15" s="5"/>
    </row>
    <row r="16" spans="1:16" ht="15">
      <c r="A16" s="8">
        <v>10</v>
      </c>
      <c r="B16" s="5">
        <v>64915.700000000033</v>
      </c>
      <c r="C16" s="9">
        <v>1128</v>
      </c>
      <c r="D16" t="s">
        <v>19</v>
      </c>
      <c r="E16" t="s">
        <v>28</v>
      </c>
      <c r="F16" s="5">
        <v>279</v>
      </c>
      <c r="G16" s="5">
        <v>12662.500000000002</v>
      </c>
      <c r="I16" s="20"/>
      <c r="K16" s="5"/>
      <c r="L16" s="20"/>
      <c r="N16" s="5"/>
    </row>
    <row r="17" spans="1:14" ht="15">
      <c r="A17" s="8">
        <v>11</v>
      </c>
      <c r="B17" s="5">
        <v>45943.80000000001</v>
      </c>
      <c r="C17" s="9">
        <v>861</v>
      </c>
      <c r="D17" t="s">
        <v>19</v>
      </c>
      <c r="E17" t="s">
        <v>208</v>
      </c>
      <c r="F17" s="5">
        <v>9</v>
      </c>
      <c r="G17" s="5">
        <v>343.2</v>
      </c>
      <c r="I17" s="20"/>
      <c r="K17" s="5"/>
      <c r="L17" s="20"/>
      <c r="N17" s="5"/>
    </row>
    <row r="18" spans="1:14" ht="15">
      <c r="A18" s="8">
        <v>12</v>
      </c>
      <c r="B18" s="5">
        <v>55077.900000000031</v>
      </c>
      <c r="C18" s="9">
        <v>944</v>
      </c>
      <c r="D18" t="s">
        <v>19</v>
      </c>
      <c r="E18" t="s">
        <v>587</v>
      </c>
      <c r="F18" s="5">
        <v>49</v>
      </c>
      <c r="G18" s="5">
        <v>2188.2999999999997</v>
      </c>
      <c r="I18" s="20"/>
      <c r="K18" s="5"/>
      <c r="L18" s="20"/>
      <c r="N18" s="5"/>
    </row>
    <row r="19" spans="1:14" ht="15">
      <c r="A19" s="8">
        <v>13</v>
      </c>
      <c r="B19" s="5">
        <v>45926.19999999999</v>
      </c>
      <c r="C19" s="9">
        <v>788</v>
      </c>
      <c r="D19" t="s">
        <v>19</v>
      </c>
      <c r="E19" t="s">
        <v>331</v>
      </c>
      <c r="F19" s="5">
        <v>59</v>
      </c>
      <c r="G19" s="5">
        <v>2661.5999999999995</v>
      </c>
      <c r="I19" s="20"/>
      <c r="K19" s="5"/>
      <c r="L19" s="20"/>
      <c r="N19" s="5"/>
    </row>
    <row r="20" spans="1:14" ht="15">
      <c r="A20" s="8" t="s">
        <v>2528</v>
      </c>
      <c r="B20" s="5">
        <v>649019.79999999993</v>
      </c>
      <c r="C20" s="9">
        <v>11997</v>
      </c>
      <c r="D20" t="s">
        <v>19</v>
      </c>
      <c r="E20" t="s">
        <v>86</v>
      </c>
      <c r="F20" s="5">
        <v>8</v>
      </c>
      <c r="G20" s="5">
        <v>887.5</v>
      </c>
      <c r="I20" s="20"/>
      <c r="K20" s="5"/>
      <c r="L20" s="20"/>
      <c r="N20" s="5"/>
    </row>
    <row r="21" spans="1:14" ht="15">
      <c r="D21" t="s">
        <v>19</v>
      </c>
      <c r="E21" t="s">
        <v>147</v>
      </c>
      <c r="F21" s="5">
        <v>222</v>
      </c>
      <c r="G21" s="5">
        <v>11354.199999999993</v>
      </c>
      <c r="I21" s="20"/>
      <c r="K21" s="5"/>
      <c r="L21" s="20"/>
      <c r="N21" s="5"/>
    </row>
    <row r="22" spans="1:14" ht="15">
      <c r="D22" t="s">
        <v>19</v>
      </c>
      <c r="E22" t="s">
        <v>334</v>
      </c>
      <c r="F22" s="5">
        <v>36</v>
      </c>
      <c r="G22" s="5">
        <v>1558.4</v>
      </c>
      <c r="I22" s="20"/>
      <c r="K22" s="5"/>
      <c r="L22" s="20"/>
      <c r="N22" s="5"/>
    </row>
    <row r="23" spans="1:14" ht="15">
      <c r="D23" t="s">
        <v>19</v>
      </c>
      <c r="E23" t="s">
        <v>949</v>
      </c>
      <c r="F23" s="5">
        <v>30</v>
      </c>
      <c r="G23" s="5">
        <v>2223.9</v>
      </c>
      <c r="I23" s="20"/>
      <c r="K23" s="5"/>
      <c r="L23" s="20"/>
      <c r="N23" s="5"/>
    </row>
    <row r="24" spans="1:14" ht="15">
      <c r="D24" t="s">
        <v>19</v>
      </c>
      <c r="E24" t="s">
        <v>1426</v>
      </c>
      <c r="F24" s="5">
        <v>1</v>
      </c>
      <c r="G24" s="5">
        <v>26.2</v>
      </c>
      <c r="I24" s="20"/>
      <c r="K24" s="5"/>
      <c r="L24" s="20"/>
      <c r="N24" s="5"/>
    </row>
    <row r="25" spans="1:14" ht="15">
      <c r="D25" t="s">
        <v>19</v>
      </c>
      <c r="E25" t="s">
        <v>33</v>
      </c>
      <c r="F25" s="5">
        <v>3991</v>
      </c>
      <c r="G25" s="5">
        <v>215551.19999999981</v>
      </c>
      <c r="I25" s="20"/>
      <c r="K25" s="5"/>
      <c r="L25" s="20"/>
      <c r="N25" s="5"/>
    </row>
    <row r="26" spans="1:14" ht="15">
      <c r="D26" t="s">
        <v>19</v>
      </c>
      <c r="E26" t="s">
        <v>364</v>
      </c>
      <c r="F26" s="5">
        <v>45</v>
      </c>
      <c r="G26" s="5">
        <v>2687.3999999999996</v>
      </c>
      <c r="I26" s="20"/>
      <c r="K26" s="5"/>
      <c r="L26" s="20"/>
      <c r="N26" s="5"/>
    </row>
    <row r="27" spans="1:14" ht="15">
      <c r="D27" t="s">
        <v>19</v>
      </c>
      <c r="E27" t="s">
        <v>545</v>
      </c>
      <c r="F27" s="5">
        <v>39</v>
      </c>
      <c r="G27" s="5">
        <v>1463.3000000000002</v>
      </c>
      <c r="I27" s="20"/>
      <c r="K27" s="5"/>
      <c r="L27" s="20"/>
      <c r="N27" s="5"/>
    </row>
    <row r="28" spans="1:14" ht="15">
      <c r="D28" t="s">
        <v>19</v>
      </c>
      <c r="E28" t="s">
        <v>416</v>
      </c>
      <c r="F28" s="5">
        <v>6</v>
      </c>
      <c r="G28" s="5">
        <v>445.79999999999995</v>
      </c>
      <c r="I28" s="20"/>
      <c r="K28" s="5"/>
      <c r="L28" s="20"/>
      <c r="N28" s="5"/>
    </row>
    <row r="29" spans="1:14" ht="15">
      <c r="D29" t="s">
        <v>19</v>
      </c>
      <c r="E29" t="s">
        <v>258</v>
      </c>
      <c r="F29" s="5">
        <v>9</v>
      </c>
      <c r="G29" s="5">
        <v>273.59999999999997</v>
      </c>
      <c r="I29" s="20"/>
      <c r="K29" s="5"/>
      <c r="L29" s="20"/>
      <c r="N29" s="5"/>
    </row>
    <row r="30" spans="1:14" ht="15">
      <c r="D30" t="s">
        <v>19</v>
      </c>
      <c r="E30" t="s">
        <v>186</v>
      </c>
      <c r="F30" s="5">
        <v>60</v>
      </c>
      <c r="G30" s="5">
        <v>2690.4</v>
      </c>
      <c r="I30" s="20"/>
      <c r="K30" s="5"/>
      <c r="L30" s="20"/>
      <c r="N30" s="5"/>
    </row>
    <row r="31" spans="1:14" ht="15">
      <c r="D31" t="s">
        <v>19</v>
      </c>
      <c r="E31" t="s">
        <v>392</v>
      </c>
      <c r="F31" s="5">
        <v>2</v>
      </c>
      <c r="G31" s="5">
        <v>28.4</v>
      </c>
      <c r="I31" s="20"/>
      <c r="K31" s="5"/>
      <c r="L31" s="20"/>
      <c r="N31" s="5"/>
    </row>
    <row r="32" spans="1:14" ht="15">
      <c r="D32" t="s">
        <v>19</v>
      </c>
      <c r="E32" t="s">
        <v>670</v>
      </c>
      <c r="F32" s="5">
        <v>4</v>
      </c>
      <c r="G32" s="5">
        <v>204.8</v>
      </c>
      <c r="I32" s="20"/>
      <c r="K32" s="5"/>
      <c r="L32" s="20"/>
      <c r="N32" s="5"/>
    </row>
    <row r="33" spans="4:14" ht="15">
      <c r="D33" t="s">
        <v>19</v>
      </c>
      <c r="E33" t="s">
        <v>802</v>
      </c>
      <c r="F33" s="5">
        <v>31</v>
      </c>
      <c r="G33" s="5">
        <v>1607.8999999999999</v>
      </c>
      <c r="I33" s="20"/>
      <c r="K33" s="5"/>
      <c r="L33" s="20"/>
      <c r="N33" s="5"/>
    </row>
    <row r="34" spans="4:14" ht="15">
      <c r="D34" t="s">
        <v>19</v>
      </c>
      <c r="E34" t="s">
        <v>98</v>
      </c>
      <c r="F34" s="5">
        <v>88</v>
      </c>
      <c r="G34" s="5">
        <v>6444.9</v>
      </c>
      <c r="I34" s="20"/>
      <c r="K34" s="5"/>
      <c r="L34" s="20"/>
      <c r="N34" s="5"/>
    </row>
    <row r="35" spans="4:14" ht="15">
      <c r="D35" t="s">
        <v>19</v>
      </c>
      <c r="E35" t="s">
        <v>49</v>
      </c>
      <c r="F35" s="5">
        <v>25</v>
      </c>
      <c r="G35" s="5">
        <v>1809.3</v>
      </c>
      <c r="I35" s="20"/>
      <c r="K35" s="5"/>
      <c r="L35" s="20"/>
      <c r="N35" s="5"/>
    </row>
    <row r="36" spans="4:14" ht="15">
      <c r="D36" t="s">
        <v>19</v>
      </c>
      <c r="E36" t="s">
        <v>188</v>
      </c>
      <c r="F36" s="5">
        <v>178</v>
      </c>
      <c r="G36" s="5">
        <v>9680.399999999996</v>
      </c>
      <c r="I36" s="20"/>
      <c r="K36" s="5"/>
      <c r="L36" s="20"/>
      <c r="N36" s="5"/>
    </row>
    <row r="37" spans="4:14" ht="15">
      <c r="D37" t="s">
        <v>19</v>
      </c>
      <c r="E37" t="s">
        <v>52</v>
      </c>
      <c r="F37" s="5">
        <v>141</v>
      </c>
      <c r="G37" s="5">
        <v>9414.7999999999993</v>
      </c>
      <c r="I37" s="20"/>
      <c r="K37" s="5"/>
      <c r="L37" s="20"/>
      <c r="N37" s="5"/>
    </row>
    <row r="38" spans="4:14" ht="15">
      <c r="D38" t="s">
        <v>19</v>
      </c>
      <c r="E38" t="s">
        <v>338</v>
      </c>
      <c r="F38" s="5">
        <v>6</v>
      </c>
      <c r="G38" s="5">
        <v>206.1</v>
      </c>
      <c r="I38" s="20"/>
      <c r="K38" s="5"/>
      <c r="L38" s="20"/>
      <c r="N38" s="5"/>
    </row>
    <row r="39" spans="4:14" ht="15">
      <c r="D39" t="s">
        <v>19</v>
      </c>
      <c r="E39" t="s">
        <v>158</v>
      </c>
      <c r="F39" s="5">
        <v>178</v>
      </c>
      <c r="G39" s="5">
        <v>7691.3</v>
      </c>
      <c r="I39" s="20"/>
      <c r="K39" s="5"/>
      <c r="L39" s="20"/>
      <c r="N39" s="5"/>
    </row>
    <row r="40" spans="4:14" ht="15">
      <c r="D40" t="s">
        <v>19</v>
      </c>
      <c r="E40" t="s">
        <v>55</v>
      </c>
      <c r="F40" s="5">
        <v>699</v>
      </c>
      <c r="G40" s="5">
        <v>37784.900000000016</v>
      </c>
      <c r="I40" s="20"/>
      <c r="K40" s="5"/>
      <c r="L40" s="20"/>
      <c r="N40" s="5"/>
    </row>
    <row r="41" spans="4:14" ht="15">
      <c r="D41" t="s">
        <v>19</v>
      </c>
      <c r="E41" t="s">
        <v>342</v>
      </c>
      <c r="F41" s="5">
        <v>23</v>
      </c>
      <c r="G41" s="5">
        <v>1129.7</v>
      </c>
      <c r="I41" s="20"/>
      <c r="K41" s="5"/>
      <c r="L41" s="20"/>
      <c r="N41" s="5"/>
    </row>
    <row r="42" spans="4:14" ht="15">
      <c r="D42" t="s">
        <v>19</v>
      </c>
      <c r="E42" t="s">
        <v>59</v>
      </c>
      <c r="F42" s="5">
        <v>356</v>
      </c>
      <c r="G42" s="5">
        <v>20988.9</v>
      </c>
      <c r="I42" s="20"/>
      <c r="K42" s="5"/>
      <c r="L42" s="20"/>
      <c r="N42" s="5"/>
    </row>
    <row r="43" spans="4:14" ht="15">
      <c r="D43" t="s">
        <v>19</v>
      </c>
      <c r="E43" t="s">
        <v>62</v>
      </c>
      <c r="F43" s="5">
        <v>1768</v>
      </c>
      <c r="G43" s="5">
        <v>98367.099999999977</v>
      </c>
      <c r="I43" s="20"/>
      <c r="K43" s="5"/>
      <c r="L43" s="20"/>
      <c r="N43" s="5"/>
    </row>
    <row r="44" spans="4:14" ht="15">
      <c r="D44" t="s">
        <v>19</v>
      </c>
      <c r="E44" t="s">
        <v>103</v>
      </c>
      <c r="F44" s="5">
        <v>307</v>
      </c>
      <c r="G44" s="5">
        <v>21911.9</v>
      </c>
      <c r="I44" s="20"/>
      <c r="K44" s="5"/>
      <c r="L44" s="20"/>
      <c r="N44" s="5"/>
    </row>
    <row r="45" spans="4:14" ht="15">
      <c r="D45" t="s">
        <v>19</v>
      </c>
      <c r="E45" t="s">
        <v>201</v>
      </c>
      <c r="F45" s="5">
        <v>117</v>
      </c>
      <c r="G45" s="5">
        <v>5441.2</v>
      </c>
      <c r="I45" s="20"/>
      <c r="K45" s="5"/>
      <c r="L45" s="20"/>
      <c r="N45" s="5"/>
    </row>
    <row r="46" spans="4:14" ht="15">
      <c r="D46" t="s">
        <v>19</v>
      </c>
      <c r="E46" t="s">
        <v>429</v>
      </c>
      <c r="F46" s="5">
        <v>13</v>
      </c>
      <c r="G46" s="5">
        <v>392.8</v>
      </c>
      <c r="I46" s="20"/>
      <c r="K46" s="5"/>
      <c r="L46" s="20"/>
      <c r="N46" s="5"/>
    </row>
    <row r="47" spans="4:14" ht="15">
      <c r="D47" t="s">
        <v>19</v>
      </c>
      <c r="E47" t="s">
        <v>72</v>
      </c>
      <c r="F47" s="5">
        <v>364</v>
      </c>
      <c r="G47" s="5">
        <v>16172.000000000005</v>
      </c>
      <c r="I47" s="20"/>
      <c r="K47" s="5"/>
      <c r="L47" s="20"/>
      <c r="N47" s="5"/>
    </row>
    <row r="48" spans="4:14" ht="15">
      <c r="D48" t="s">
        <v>19</v>
      </c>
      <c r="E48" t="s">
        <v>74</v>
      </c>
      <c r="F48" s="5">
        <v>95</v>
      </c>
      <c r="G48" s="5">
        <v>4334.9999999999991</v>
      </c>
      <c r="I48" s="20"/>
      <c r="K48" s="5"/>
      <c r="L48" s="20"/>
      <c r="N48" s="5"/>
    </row>
    <row r="49" spans="4:14" ht="15">
      <c r="D49" t="s">
        <v>19</v>
      </c>
      <c r="E49" t="s">
        <v>77</v>
      </c>
      <c r="F49" s="5">
        <v>737</v>
      </c>
      <c r="G49" s="5">
        <v>37449.000000000007</v>
      </c>
      <c r="I49" s="20"/>
      <c r="K49" s="5"/>
      <c r="L49" s="20"/>
      <c r="N49" s="5"/>
    </row>
    <row r="50" spans="4:14" ht="15">
      <c r="D50" t="s">
        <v>19</v>
      </c>
      <c r="E50" t="s">
        <v>309</v>
      </c>
      <c r="F50" s="5">
        <v>39</v>
      </c>
      <c r="G50" s="5">
        <v>2447.5</v>
      </c>
      <c r="I50" s="20"/>
      <c r="K50" s="5"/>
      <c r="L50" s="20"/>
      <c r="N50" s="5"/>
    </row>
    <row r="51" spans="4:14" ht="15">
      <c r="D51" t="s">
        <v>19</v>
      </c>
      <c r="E51" t="s">
        <v>1116</v>
      </c>
      <c r="F51" s="5">
        <v>56</v>
      </c>
      <c r="G51" s="5">
        <v>3391.1</v>
      </c>
      <c r="I51" s="20"/>
      <c r="K51" s="5"/>
      <c r="L51" s="20"/>
      <c r="N51" s="5"/>
    </row>
    <row r="52" spans="4:14" ht="15">
      <c r="D52" t="s">
        <v>19</v>
      </c>
      <c r="E52" t="s">
        <v>700</v>
      </c>
      <c r="F52" s="5">
        <v>2</v>
      </c>
      <c r="G52" s="5">
        <v>30.8</v>
      </c>
      <c r="I52" s="20"/>
      <c r="K52" s="5"/>
      <c r="L52" s="20"/>
      <c r="N52" s="5"/>
    </row>
    <row r="53" spans="4:14" ht="15">
      <c r="D53" t="s">
        <v>19</v>
      </c>
      <c r="E53" t="s">
        <v>268</v>
      </c>
      <c r="F53" s="5">
        <v>8</v>
      </c>
      <c r="G53" s="5">
        <v>332.3</v>
      </c>
      <c r="I53" s="20"/>
      <c r="K53" s="5"/>
      <c r="L53" s="20"/>
      <c r="N53" s="5"/>
    </row>
    <row r="54" spans="4:14" ht="15">
      <c r="D54" t="s">
        <v>19</v>
      </c>
      <c r="E54" t="s">
        <v>377</v>
      </c>
      <c r="F54" s="5">
        <v>52</v>
      </c>
      <c r="G54" s="5">
        <v>3175.9999999999995</v>
      </c>
      <c r="I54" s="20"/>
      <c r="K54" s="5"/>
      <c r="L54" s="20"/>
      <c r="N54" s="5"/>
    </row>
    <row r="55" spans="4:14" ht="15">
      <c r="D55" t="s">
        <v>19</v>
      </c>
      <c r="E55" t="s">
        <v>108</v>
      </c>
      <c r="F55" s="5">
        <v>295</v>
      </c>
      <c r="G55" s="5">
        <v>20939.600000000002</v>
      </c>
      <c r="I55" s="20"/>
      <c r="K55" s="5"/>
      <c r="L55" s="20"/>
      <c r="N55" s="5"/>
    </row>
    <row r="56" spans="4:14" ht="15">
      <c r="D56" t="s">
        <v>19</v>
      </c>
      <c r="E56" t="s">
        <v>110</v>
      </c>
      <c r="F56" s="5">
        <v>195</v>
      </c>
      <c r="G56" s="5">
        <v>10185.899999999996</v>
      </c>
      <c r="I56" s="20"/>
      <c r="K56" s="5"/>
      <c r="L56" s="20"/>
      <c r="N56" s="5"/>
    </row>
    <row r="57" spans="4:14" ht="15">
      <c r="D57" t="s">
        <v>19</v>
      </c>
      <c r="E57" t="s">
        <v>292</v>
      </c>
      <c r="F57" s="5">
        <v>20</v>
      </c>
      <c r="G57" s="5">
        <v>958.7</v>
      </c>
      <c r="I57" s="20"/>
      <c r="K57" s="5"/>
      <c r="L57" s="20"/>
      <c r="N57" s="5"/>
    </row>
    <row r="58" spans="4:14" ht="15">
      <c r="D58" t="s">
        <v>19</v>
      </c>
      <c r="E58" t="s">
        <v>79</v>
      </c>
      <c r="F58" s="5">
        <v>6</v>
      </c>
      <c r="G58" s="5">
        <v>323</v>
      </c>
      <c r="I58" s="20"/>
      <c r="K58" s="5"/>
      <c r="L58" s="20"/>
      <c r="N58" s="5"/>
    </row>
    <row r="59" spans="4:14" ht="15">
      <c r="D59" t="s">
        <v>19</v>
      </c>
      <c r="E59" t="s">
        <v>608</v>
      </c>
      <c r="F59" s="5">
        <v>5</v>
      </c>
      <c r="G59" s="5">
        <v>167.70000000000002</v>
      </c>
      <c r="I59" s="20"/>
      <c r="K59" s="5"/>
      <c r="L59" s="20"/>
      <c r="N59" s="5"/>
    </row>
    <row r="60" spans="4:14" ht="15">
      <c r="D60" t="s">
        <v>19</v>
      </c>
      <c r="E60" t="s">
        <v>113</v>
      </c>
      <c r="F60" s="5">
        <v>94</v>
      </c>
      <c r="G60" s="5">
        <v>3978.5</v>
      </c>
      <c r="I60" s="20"/>
      <c r="K60" s="5"/>
      <c r="L60" s="20"/>
      <c r="N60" s="5"/>
    </row>
    <row r="61" spans="4:14" ht="15">
      <c r="D61" t="s">
        <v>19</v>
      </c>
      <c r="E61" t="s">
        <v>997</v>
      </c>
      <c r="F61" s="5">
        <v>28</v>
      </c>
      <c r="G61" s="5">
        <v>1405</v>
      </c>
      <c r="I61" s="20"/>
      <c r="K61" s="5"/>
      <c r="L61" s="20"/>
      <c r="N61" s="5"/>
    </row>
    <row r="62" spans="4:14" ht="15">
      <c r="D62" t="s">
        <v>19</v>
      </c>
      <c r="E62" t="s">
        <v>82</v>
      </c>
      <c r="F62" s="5">
        <v>179</v>
      </c>
      <c r="G62" s="5">
        <v>9869.0999999999985</v>
      </c>
      <c r="I62" s="20"/>
      <c r="K62" s="5"/>
      <c r="L62" s="20"/>
      <c r="N62" s="5"/>
    </row>
    <row r="63" spans="4:14" ht="15">
      <c r="D63" t="s">
        <v>19</v>
      </c>
      <c r="E63" t="s">
        <v>243</v>
      </c>
      <c r="F63" s="5">
        <v>15</v>
      </c>
      <c r="G63" s="5">
        <v>615.29999999999995</v>
      </c>
      <c r="I63" s="20"/>
      <c r="K63" s="5"/>
      <c r="L63" s="20"/>
      <c r="N63" s="5"/>
    </row>
    <row r="64" spans="4:14" ht="15">
      <c r="D64" t="s">
        <v>19</v>
      </c>
      <c r="E64" t="s">
        <v>1911</v>
      </c>
      <c r="F64" s="5">
        <v>3</v>
      </c>
      <c r="G64" s="5">
        <v>285</v>
      </c>
      <c r="I64" s="20"/>
      <c r="K64" s="5"/>
      <c r="L64" s="20"/>
      <c r="N64" s="5"/>
    </row>
    <row r="65" spans="9:14" ht="15">
      <c r="I65" s="21"/>
      <c r="K65" s="5"/>
      <c r="L65" s="21"/>
      <c r="N65" s="5"/>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6"/>
  <sheetViews>
    <sheetView showGridLines="0" workbookViewId="0">
      <selection activeCell="H11" sqref="H11:N17"/>
    </sheetView>
  </sheetViews>
  <sheetFormatPr defaultRowHeight="14.25"/>
  <cols>
    <col min="1" max="1" width="14.25" bestFit="1" customWidth="1"/>
    <col min="2" max="2" width="16.125" bestFit="1" customWidth="1"/>
    <col min="3" max="3" width="7" customWidth="1"/>
    <col min="4" max="4" width="6" customWidth="1"/>
    <col min="5" max="5" width="9.125" bestFit="1" customWidth="1"/>
    <col min="6" max="6" width="11.375" bestFit="1" customWidth="1"/>
    <col min="7" max="7" width="8" customWidth="1"/>
    <col min="8" max="8" width="9.875" customWidth="1"/>
    <col min="9" max="9" width="6.75" customWidth="1"/>
    <col min="10" max="10" width="6.125" customWidth="1"/>
    <col min="11" max="11" width="6.375" customWidth="1"/>
    <col min="12" max="12" width="8" customWidth="1"/>
  </cols>
  <sheetData>
    <row r="3" spans="1:12" ht="19.5" customHeight="1">
      <c r="A3" s="7" t="s">
        <v>2521</v>
      </c>
      <c r="B3" s="7" t="s">
        <v>2533</v>
      </c>
      <c r="H3" t="s">
        <v>2534</v>
      </c>
    </row>
    <row r="4" spans="1:12" ht="18.75" customHeight="1">
      <c r="A4" s="7" t="s">
        <v>2527</v>
      </c>
      <c r="B4" t="s">
        <v>2529</v>
      </c>
      <c r="C4" t="s">
        <v>2530</v>
      </c>
      <c r="D4" t="s">
        <v>2531</v>
      </c>
      <c r="E4" t="s">
        <v>2532</v>
      </c>
      <c r="F4" t="s">
        <v>2528</v>
      </c>
      <c r="H4" s="11"/>
      <c r="I4" s="12" t="str">
        <f>B4</f>
        <v>Female</v>
      </c>
      <c r="J4" s="12" t="str">
        <f t="shared" ref="J4:L5" si="0">C4</f>
        <v>Male</v>
      </c>
      <c r="K4" s="12" t="str">
        <f t="shared" si="0"/>
        <v>Other</v>
      </c>
      <c r="L4" s="13" t="str">
        <f t="shared" si="0"/>
        <v>Unknown</v>
      </c>
    </row>
    <row r="5" spans="1:12" ht="18.75" customHeight="1">
      <c r="A5" s="8" t="s">
        <v>18</v>
      </c>
      <c r="B5" s="10">
        <v>0.18961825201634841</v>
      </c>
      <c r="C5" s="10">
        <v>0.12262322351336576</v>
      </c>
      <c r="D5" s="10">
        <v>1.060537752469185E-2</v>
      </c>
      <c r="E5" s="10">
        <v>3.0599220547662797E-2</v>
      </c>
      <c r="F5" s="10">
        <v>0.35344607360206881</v>
      </c>
      <c r="H5" s="14" t="str">
        <f>A5</f>
        <v>App</v>
      </c>
      <c r="I5" s="15">
        <f t="shared" ref="I5:L9" si="1">B5</f>
        <v>0.18961825201634841</v>
      </c>
      <c r="J5" s="15">
        <f t="shared" si="0"/>
        <v>0.12262322351336576</v>
      </c>
      <c r="K5" s="15">
        <f t="shared" si="0"/>
        <v>1.060537752469185E-2</v>
      </c>
      <c r="L5" s="16">
        <f t="shared" si="0"/>
        <v>3.0599220547662797E-2</v>
      </c>
    </row>
    <row r="6" spans="1:12" ht="19.5" customHeight="1">
      <c r="A6" s="8" t="s">
        <v>51</v>
      </c>
      <c r="B6" s="10">
        <v>5.0283982091147303E-2</v>
      </c>
      <c r="C6" s="10">
        <v>4.3060781812819873E-2</v>
      </c>
      <c r="D6" s="10">
        <v>1.5320025675641944E-3</v>
      </c>
      <c r="E6" s="10">
        <v>1.7794988689097006E-2</v>
      </c>
      <c r="F6" s="10">
        <v>0.11267175516062837</v>
      </c>
      <c r="H6" s="14" t="str">
        <f t="shared" ref="H6:H9" si="2">A6</f>
        <v>Instagram</v>
      </c>
      <c r="I6" s="15">
        <f t="shared" si="1"/>
        <v>5.0283982091147303E-2</v>
      </c>
      <c r="J6" s="15">
        <f t="shared" si="1"/>
        <v>4.3060781812819873E-2</v>
      </c>
      <c r="K6" s="15">
        <f t="shared" si="1"/>
        <v>1.5320025675641944E-3</v>
      </c>
      <c r="L6" s="16">
        <f t="shared" si="1"/>
        <v>1.7794988689097006E-2</v>
      </c>
    </row>
    <row r="7" spans="1:12" ht="19.5" customHeight="1">
      <c r="A7" s="8" t="s">
        <v>70</v>
      </c>
      <c r="B7" s="10">
        <v>6.3496059750411282E-2</v>
      </c>
      <c r="C7" s="10">
        <v>4.6071629863988765E-2</v>
      </c>
      <c r="D7" s="10">
        <v>2.306247051322625E-3</v>
      </c>
      <c r="E7" s="10">
        <v>3.8927934093844286E-3</v>
      </c>
      <c r="F7" s="10">
        <v>0.11576673007510711</v>
      </c>
      <c r="H7" s="14" t="str">
        <f t="shared" si="2"/>
        <v>Partner App</v>
      </c>
      <c r="I7" s="15">
        <f t="shared" si="1"/>
        <v>6.3496059750411282E-2</v>
      </c>
      <c r="J7" s="15">
        <f t="shared" si="1"/>
        <v>4.6071629863988765E-2</v>
      </c>
      <c r="K7" s="15">
        <f t="shared" si="1"/>
        <v>2.306247051322625E-3</v>
      </c>
      <c r="L7" s="16">
        <f t="shared" si="1"/>
        <v>3.8927934093844286E-3</v>
      </c>
    </row>
    <row r="8" spans="1:12" ht="18.75" customHeight="1">
      <c r="A8" s="8" t="s">
        <v>40</v>
      </c>
      <c r="B8" s="10">
        <v>9.6337892927149532E-2</v>
      </c>
      <c r="C8" s="10">
        <v>6.7920115842382611E-2</v>
      </c>
      <c r="D8" s="10">
        <v>5.4979832664581261E-3</v>
      </c>
      <c r="E8" s="10">
        <v>1.2933041488102518E-2</v>
      </c>
      <c r="F8" s="10">
        <v>0.1826890335240928</v>
      </c>
      <c r="H8" s="14" t="str">
        <f t="shared" si="2"/>
        <v>Target.com</v>
      </c>
      <c r="I8" s="15">
        <f t="shared" si="1"/>
        <v>9.6337892927149532E-2</v>
      </c>
      <c r="J8" s="15">
        <f t="shared" si="1"/>
        <v>6.7920115842382611E-2</v>
      </c>
      <c r="K8" s="15">
        <f t="shared" si="1"/>
        <v>5.4979832664581261E-3</v>
      </c>
      <c r="L8" s="16">
        <f t="shared" si="1"/>
        <v>1.2933041488102518E-2</v>
      </c>
    </row>
    <row r="9" spans="1:12" ht="19.5" customHeight="1">
      <c r="A9" s="8" t="s">
        <v>35</v>
      </c>
      <c r="B9" s="10">
        <v>0.12522098709469262</v>
      </c>
      <c r="C9" s="10">
        <v>9.1492740283116228E-2</v>
      </c>
      <c r="D9" s="10">
        <v>6.3042760790965081E-3</v>
      </c>
      <c r="E9" s="10">
        <v>1.2408404181197551E-2</v>
      </c>
      <c r="F9" s="10">
        <v>0.23542640763810288</v>
      </c>
      <c r="H9" s="17" t="str">
        <f t="shared" si="2"/>
        <v>Website</v>
      </c>
      <c r="I9" s="18">
        <f t="shared" si="1"/>
        <v>0.12522098709469262</v>
      </c>
      <c r="J9" s="18">
        <f t="shared" si="1"/>
        <v>9.1492740283116228E-2</v>
      </c>
      <c r="K9" s="18">
        <f t="shared" si="1"/>
        <v>6.3042760790965081E-3</v>
      </c>
      <c r="L9" s="19">
        <f t="shared" si="1"/>
        <v>1.2408404181197551E-2</v>
      </c>
    </row>
    <row r="10" spans="1:12">
      <c r="A10" s="8" t="s">
        <v>2528</v>
      </c>
      <c r="B10" s="10">
        <v>0.52495717387974916</v>
      </c>
      <c r="C10" s="10">
        <v>0.3711684913156732</v>
      </c>
      <c r="D10" s="10">
        <v>2.6245886489133303E-2</v>
      </c>
      <c r="E10" s="10">
        <v>7.7628448315444312E-2</v>
      </c>
      <c r="F10" s="10">
        <v>1</v>
      </c>
    </row>
    <row r="11" spans="1:12">
      <c r="H11" s="11"/>
      <c r="I11" s="12"/>
      <c r="J11" s="12"/>
      <c r="K11" s="12"/>
      <c r="L11" s="13"/>
    </row>
    <row r="12" spans="1:12">
      <c r="H12" s="14"/>
      <c r="I12" s="15"/>
      <c r="J12" s="15"/>
      <c r="K12" s="15"/>
      <c r="L12" s="16"/>
    </row>
    <row r="13" spans="1:12">
      <c r="H13" s="14"/>
      <c r="I13" s="15"/>
      <c r="J13" s="15"/>
      <c r="K13" s="15"/>
      <c r="L13" s="16"/>
    </row>
    <row r="14" spans="1:12">
      <c r="H14" s="14"/>
      <c r="I14" s="15"/>
      <c r="J14" s="15"/>
      <c r="K14" s="15"/>
      <c r="L14" s="16"/>
    </row>
    <row r="15" spans="1:12">
      <c r="H15" s="14"/>
      <c r="I15" s="15"/>
      <c r="J15" s="15"/>
      <c r="K15" s="15"/>
      <c r="L15" s="16"/>
    </row>
    <row r="16" spans="1:12">
      <c r="H16" s="17"/>
      <c r="I16" s="18"/>
      <c r="J16" s="18"/>
      <c r="K16" s="18"/>
      <c r="L16" s="19"/>
    </row>
  </sheetData>
  <conditionalFormatting sqref="I5:L9">
    <cfRule type="colorScale" priority="2">
      <colorScale>
        <cfvo type="min"/>
        <cfvo type="percentile" val="50"/>
        <cfvo type="max"/>
        <color rgb="FFF8696B"/>
        <color rgb="FFFCFCFF"/>
        <color rgb="FF5A8AC6"/>
      </colorScale>
    </cfRule>
  </conditionalFormatting>
  <conditionalFormatting sqref="I12:L16">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0"/>
  <sheetViews>
    <sheetView workbookViewId="0">
      <selection activeCell="D14" sqref="D14"/>
    </sheetView>
  </sheetViews>
  <sheetFormatPr defaultRowHeight="14.25"/>
  <cols>
    <col min="1" max="1" width="13.125" customWidth="1"/>
    <col min="2" max="2" width="14" customWidth="1"/>
    <col min="4" max="4" width="14" customWidth="1"/>
    <col min="5" max="5" width="16.125" customWidth="1"/>
    <col min="6" max="7" width="3.875" customWidth="1"/>
    <col min="8" max="8" width="4.875" customWidth="1"/>
    <col min="9" max="9" width="3.875" customWidth="1"/>
    <col min="10" max="10" width="11.375" customWidth="1"/>
    <col min="11" max="11" width="6" customWidth="1"/>
    <col min="12" max="12" width="2.875" customWidth="1"/>
    <col min="13" max="15" width="3.875" customWidth="1"/>
    <col min="16" max="16" width="9.25" bestFit="1" customWidth="1"/>
    <col min="17" max="17" width="6" customWidth="1"/>
    <col min="18" max="18" width="2.875" customWidth="1"/>
    <col min="19" max="21" width="3.875" customWidth="1"/>
    <col min="22" max="22" width="9.25" bestFit="1" customWidth="1"/>
    <col min="23" max="23" width="11.375" bestFit="1" customWidth="1"/>
    <col min="24" max="35" width="9.25" bestFit="1" customWidth="1"/>
    <col min="36" max="44" width="8.5" customWidth="1"/>
    <col min="45" max="63" width="9.5" bestFit="1" customWidth="1"/>
    <col min="64" max="72" width="8.5" customWidth="1"/>
    <col min="73" max="92" width="9.5" bestFit="1" customWidth="1"/>
    <col min="93" max="93" width="11.375" bestFit="1" customWidth="1"/>
  </cols>
  <sheetData>
    <row r="3" spans="1:10">
      <c r="A3" s="7" t="s">
        <v>2527</v>
      </c>
      <c r="B3" t="s">
        <v>2519</v>
      </c>
    </row>
    <row r="4" spans="1:10">
      <c r="A4" s="8">
        <v>1</v>
      </c>
      <c r="B4" s="5">
        <v>397</v>
      </c>
    </row>
    <row r="5" spans="1:10">
      <c r="A5" s="8">
        <v>2</v>
      </c>
      <c r="B5" s="5">
        <v>540</v>
      </c>
    </row>
    <row r="6" spans="1:10">
      <c r="A6" s="8">
        <v>3</v>
      </c>
      <c r="B6" s="5">
        <v>375</v>
      </c>
    </row>
    <row r="7" spans="1:10">
      <c r="A7" s="8">
        <v>4</v>
      </c>
      <c r="B7" s="5">
        <v>246</v>
      </c>
    </row>
    <row r="8" spans="1:10">
      <c r="A8" s="8">
        <v>5</v>
      </c>
      <c r="B8" s="5">
        <v>195</v>
      </c>
    </row>
    <row r="9" spans="1:10">
      <c r="A9" s="8" t="s">
        <v>2536</v>
      </c>
      <c r="B9" s="5">
        <v>414</v>
      </c>
    </row>
    <row r="10" spans="1:10">
      <c r="A10" s="8" t="s">
        <v>2535</v>
      </c>
      <c r="B10" s="5">
        <v>233</v>
      </c>
    </row>
    <row r="11" spans="1:10">
      <c r="A11" s="8" t="s">
        <v>2528</v>
      </c>
      <c r="B11" s="5">
        <v>2400</v>
      </c>
    </row>
    <row r="14" spans="1:10">
      <c r="A14" s="7" t="s">
        <v>2527</v>
      </c>
      <c r="B14" t="s">
        <v>2519</v>
      </c>
      <c r="D14" s="7" t="s">
        <v>2519</v>
      </c>
      <c r="E14" s="7" t="s">
        <v>2533</v>
      </c>
    </row>
    <row r="15" spans="1:10">
      <c r="A15" s="8">
        <v>0</v>
      </c>
      <c r="B15" s="5">
        <v>175</v>
      </c>
      <c r="D15" s="7" t="s">
        <v>2527</v>
      </c>
      <c r="E15">
        <v>1</v>
      </c>
      <c r="F15">
        <v>2</v>
      </c>
      <c r="G15">
        <v>3</v>
      </c>
      <c r="H15">
        <v>4</v>
      </c>
      <c r="I15">
        <v>5</v>
      </c>
      <c r="J15" t="s">
        <v>2528</v>
      </c>
    </row>
    <row r="16" spans="1:10">
      <c r="A16" s="8">
        <v>1</v>
      </c>
      <c r="B16" s="5">
        <v>888</v>
      </c>
      <c r="D16" s="22" t="s">
        <v>2537</v>
      </c>
      <c r="E16" s="5">
        <v>7</v>
      </c>
      <c r="F16" s="5">
        <v>37</v>
      </c>
      <c r="G16" s="5">
        <v>150</v>
      </c>
      <c r="H16" s="5">
        <v>312</v>
      </c>
      <c r="I16" s="5">
        <v>224</v>
      </c>
      <c r="J16" s="5">
        <v>730</v>
      </c>
    </row>
    <row r="17" spans="1:10">
      <c r="A17" s="8">
        <v>2</v>
      </c>
      <c r="B17" s="5">
        <v>538</v>
      </c>
      <c r="D17" s="22" t="s">
        <v>2538</v>
      </c>
      <c r="E17" s="5">
        <v>8</v>
      </c>
      <c r="F17" s="5">
        <v>51</v>
      </c>
      <c r="G17" s="5">
        <v>182</v>
      </c>
      <c r="H17" s="5">
        <v>373</v>
      </c>
      <c r="I17" s="5">
        <v>247</v>
      </c>
      <c r="J17" s="5">
        <v>861</v>
      </c>
    </row>
    <row r="18" spans="1:10">
      <c r="A18" s="8">
        <v>3</v>
      </c>
      <c r="B18" s="5">
        <v>344</v>
      </c>
      <c r="D18" s="22" t="s">
        <v>2539</v>
      </c>
      <c r="E18" s="5">
        <v>6</v>
      </c>
      <c r="F18" s="5">
        <v>39</v>
      </c>
      <c r="G18" s="5">
        <v>163</v>
      </c>
      <c r="H18" s="5">
        <v>351</v>
      </c>
      <c r="I18" s="5">
        <v>250</v>
      </c>
      <c r="J18" s="5">
        <v>809</v>
      </c>
    </row>
    <row r="19" spans="1:10">
      <c r="A19" s="8">
        <v>4</v>
      </c>
      <c r="B19" s="5">
        <v>200</v>
      </c>
      <c r="D19" s="22" t="s">
        <v>2528</v>
      </c>
      <c r="E19" s="5">
        <v>21</v>
      </c>
      <c r="F19" s="5">
        <v>127</v>
      </c>
      <c r="G19" s="5">
        <v>495</v>
      </c>
      <c r="H19" s="5">
        <v>1036</v>
      </c>
      <c r="I19" s="5">
        <v>721</v>
      </c>
      <c r="J19" s="5">
        <v>2400</v>
      </c>
    </row>
    <row r="20" spans="1:10">
      <c r="A20" s="8">
        <v>5</v>
      </c>
      <c r="B20" s="5">
        <v>94</v>
      </c>
    </row>
    <row r="21" spans="1:10">
      <c r="A21" s="8">
        <v>6</v>
      </c>
      <c r="B21" s="5">
        <v>51</v>
      </c>
    </row>
    <row r="22" spans="1:10">
      <c r="A22" s="8">
        <v>7</v>
      </c>
      <c r="B22" s="5">
        <v>32</v>
      </c>
    </row>
    <row r="23" spans="1:10">
      <c r="A23" s="8">
        <v>8</v>
      </c>
      <c r="B23" s="5">
        <v>23</v>
      </c>
    </row>
    <row r="24" spans="1:10">
      <c r="A24" s="8">
        <v>9</v>
      </c>
      <c r="B24" s="5">
        <v>9</v>
      </c>
    </row>
    <row r="25" spans="1:10">
      <c r="A25" s="8">
        <v>10</v>
      </c>
      <c r="B25" s="5">
        <v>8</v>
      </c>
    </row>
    <row r="26" spans="1:10">
      <c r="A26" s="8">
        <v>11</v>
      </c>
      <c r="B26" s="5">
        <v>11</v>
      </c>
    </row>
    <row r="27" spans="1:10">
      <c r="A27" s="8">
        <v>12</v>
      </c>
      <c r="B27" s="5">
        <v>4</v>
      </c>
    </row>
    <row r="28" spans="1:10">
      <c r="A28" s="8">
        <v>13</v>
      </c>
      <c r="B28" s="5">
        <v>10</v>
      </c>
    </row>
    <row r="29" spans="1:10">
      <c r="A29" s="8">
        <v>14</v>
      </c>
      <c r="B29" s="5">
        <v>13</v>
      </c>
    </row>
    <row r="30" spans="1:10">
      <c r="A30" s="8" t="s">
        <v>2528</v>
      </c>
      <c r="B30" s="5">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5"/>
  <sheetViews>
    <sheetView topLeftCell="A2" workbookViewId="0">
      <selection activeCell="A4" sqref="A4"/>
    </sheetView>
  </sheetViews>
  <sheetFormatPr defaultRowHeight="14.25"/>
  <cols>
    <col min="1" max="1" width="19.625" customWidth="1"/>
    <col min="2" max="2" width="16.125" bestFit="1" customWidth="1"/>
    <col min="3" max="3" width="5.125" customWidth="1"/>
    <col min="4" max="4" width="6" customWidth="1"/>
    <col min="5" max="5" width="9.125" bestFit="1" customWidth="1"/>
    <col min="6" max="6" width="11.375" bestFit="1" customWidth="1"/>
    <col min="8" max="8" width="13.125" customWidth="1"/>
    <col min="9" max="9" width="15" customWidth="1"/>
    <col min="10" max="10" width="5.125" customWidth="1"/>
    <col min="11" max="11" width="6" customWidth="1"/>
    <col min="12" max="12" width="9.125" bestFit="1" customWidth="1"/>
    <col min="13" max="13" width="11.375" bestFit="1" customWidth="1"/>
  </cols>
  <sheetData>
    <row r="3" spans="1:9">
      <c r="A3" s="7" t="s">
        <v>2520</v>
      </c>
      <c r="B3" s="7" t="s">
        <v>2533</v>
      </c>
      <c r="H3" s="7" t="s">
        <v>2527</v>
      </c>
      <c r="I3" t="s">
        <v>2520</v>
      </c>
    </row>
    <row r="4" spans="1:9">
      <c r="A4" s="7" t="s">
        <v>2527</v>
      </c>
      <c r="B4" t="s">
        <v>2529</v>
      </c>
      <c r="C4" t="s">
        <v>2530</v>
      </c>
      <c r="D4" t="s">
        <v>2531</v>
      </c>
      <c r="E4" t="s">
        <v>2532</v>
      </c>
      <c r="F4" t="s">
        <v>2528</v>
      </c>
      <c r="H4" s="8" t="s">
        <v>2529</v>
      </c>
      <c r="I4" s="5">
        <v>6272</v>
      </c>
    </row>
    <row r="5" spans="1:9">
      <c r="A5" s="8" t="s">
        <v>44</v>
      </c>
      <c r="B5" s="5">
        <v>744</v>
      </c>
      <c r="C5" s="5">
        <v>713</v>
      </c>
      <c r="D5" s="5">
        <v>90</v>
      </c>
      <c r="E5" s="5">
        <v>98</v>
      </c>
      <c r="F5" s="5">
        <v>1645</v>
      </c>
      <c r="H5" s="8" t="s">
        <v>2530</v>
      </c>
      <c r="I5" s="5">
        <v>4672</v>
      </c>
    </row>
    <row r="6" spans="1:9">
      <c r="A6" s="8" t="s">
        <v>39</v>
      </c>
      <c r="B6" s="5">
        <v>716</v>
      </c>
      <c r="C6" s="5">
        <v>598</v>
      </c>
      <c r="D6" s="5">
        <v>18</v>
      </c>
      <c r="E6" s="5">
        <v>214</v>
      </c>
      <c r="F6" s="5">
        <v>1546</v>
      </c>
      <c r="H6" s="8" t="s">
        <v>2531</v>
      </c>
      <c r="I6" s="5">
        <v>317</v>
      </c>
    </row>
    <row r="7" spans="1:9">
      <c r="A7" s="8" t="s">
        <v>26</v>
      </c>
      <c r="B7" s="5">
        <v>627</v>
      </c>
      <c r="C7" s="5">
        <v>393</v>
      </c>
      <c r="D7" s="5">
        <v>29</v>
      </c>
      <c r="E7" s="5">
        <v>137</v>
      </c>
      <c r="F7" s="5">
        <v>1186</v>
      </c>
      <c r="H7" s="8" t="s">
        <v>2532</v>
      </c>
      <c r="I7" s="5">
        <v>736</v>
      </c>
    </row>
    <row r="8" spans="1:9">
      <c r="A8" s="8" t="s">
        <v>22</v>
      </c>
      <c r="B8" s="5">
        <v>568</v>
      </c>
      <c r="C8" s="5">
        <v>306</v>
      </c>
      <c r="D8" s="5">
        <v>22</v>
      </c>
      <c r="E8" s="5">
        <v>16</v>
      </c>
      <c r="F8" s="5">
        <v>912</v>
      </c>
      <c r="H8" s="8" t="s">
        <v>2528</v>
      </c>
      <c r="I8" s="5">
        <v>11997</v>
      </c>
    </row>
    <row r="9" spans="1:9">
      <c r="A9" s="8" t="s">
        <v>54</v>
      </c>
      <c r="B9" s="5">
        <v>482</v>
      </c>
      <c r="C9" s="5">
        <v>295</v>
      </c>
      <c r="D9" s="5">
        <v>8</v>
      </c>
      <c r="E9" s="5">
        <v>22</v>
      </c>
      <c r="F9" s="5">
        <v>807</v>
      </c>
    </row>
    <row r="10" spans="1:9">
      <c r="A10" s="8" t="s">
        <v>16</v>
      </c>
      <c r="B10" s="5">
        <v>428</v>
      </c>
      <c r="C10" s="5">
        <v>293</v>
      </c>
      <c r="D10" s="5"/>
      <c r="E10" s="5">
        <v>24</v>
      </c>
      <c r="F10" s="5">
        <v>745</v>
      </c>
    </row>
    <row r="11" spans="1:9">
      <c r="A11" s="8" t="s">
        <v>46</v>
      </c>
      <c r="B11" s="5">
        <v>445</v>
      </c>
      <c r="C11" s="5">
        <v>202</v>
      </c>
      <c r="D11" s="5">
        <v>14</v>
      </c>
      <c r="E11" s="5">
        <v>39</v>
      </c>
      <c r="F11" s="5">
        <v>700</v>
      </c>
    </row>
    <row r="12" spans="1:9">
      <c r="A12" s="8" t="s">
        <v>32</v>
      </c>
      <c r="B12" s="5">
        <v>431</v>
      </c>
      <c r="C12" s="5">
        <v>187</v>
      </c>
      <c r="D12" s="5">
        <v>14</v>
      </c>
      <c r="E12" s="5">
        <v>15</v>
      </c>
      <c r="F12" s="5">
        <v>647</v>
      </c>
    </row>
    <row r="13" spans="1:9">
      <c r="A13" s="8" t="s">
        <v>42</v>
      </c>
      <c r="B13" s="5">
        <v>264</v>
      </c>
      <c r="C13" s="5">
        <v>318</v>
      </c>
      <c r="D13" s="5">
        <v>15</v>
      </c>
      <c r="E13" s="5">
        <v>9</v>
      </c>
      <c r="F13" s="5">
        <v>606</v>
      </c>
    </row>
    <row r="14" spans="1:9">
      <c r="A14" s="8" t="s">
        <v>37</v>
      </c>
      <c r="B14" s="5">
        <v>296</v>
      </c>
      <c r="C14" s="5">
        <v>275</v>
      </c>
      <c r="D14" s="5">
        <v>9</v>
      </c>
      <c r="E14" s="5">
        <v>23</v>
      </c>
      <c r="F14" s="5">
        <v>603</v>
      </c>
    </row>
    <row r="15" spans="1:9">
      <c r="A15" s="8" t="s">
        <v>123</v>
      </c>
      <c r="B15" s="5">
        <v>153</v>
      </c>
      <c r="C15" s="5">
        <v>246</v>
      </c>
      <c r="D15" s="5">
        <v>30</v>
      </c>
      <c r="E15" s="5">
        <v>8</v>
      </c>
      <c r="F15" s="5">
        <v>437</v>
      </c>
    </row>
    <row r="16" spans="1:9">
      <c r="A16" s="8" t="s">
        <v>146</v>
      </c>
      <c r="B16" s="5">
        <v>189</v>
      </c>
      <c r="C16" s="5">
        <v>168</v>
      </c>
      <c r="D16" s="5">
        <v>10</v>
      </c>
      <c r="E16" s="5">
        <v>31</v>
      </c>
      <c r="F16" s="5">
        <v>398</v>
      </c>
    </row>
    <row r="17" spans="1:6">
      <c r="A17" s="8" t="s">
        <v>69</v>
      </c>
      <c r="B17" s="5">
        <v>234</v>
      </c>
      <c r="C17" s="5">
        <v>93</v>
      </c>
      <c r="D17" s="5">
        <v>19</v>
      </c>
      <c r="E17" s="5">
        <v>24</v>
      </c>
      <c r="F17" s="5">
        <v>370</v>
      </c>
    </row>
    <row r="18" spans="1:6">
      <c r="A18" s="8" t="s">
        <v>30</v>
      </c>
      <c r="B18" s="5">
        <v>146</v>
      </c>
      <c r="C18" s="5">
        <v>94</v>
      </c>
      <c r="D18" s="5">
        <v>4</v>
      </c>
      <c r="E18" s="5">
        <v>28</v>
      </c>
      <c r="F18" s="5">
        <v>272</v>
      </c>
    </row>
    <row r="19" spans="1:6">
      <c r="A19" s="8" t="s">
        <v>135</v>
      </c>
      <c r="B19" s="5">
        <v>127</v>
      </c>
      <c r="C19" s="5">
        <v>118</v>
      </c>
      <c r="D19" s="5">
        <v>13</v>
      </c>
      <c r="E19" s="5">
        <v>12</v>
      </c>
      <c r="F19" s="5">
        <v>270</v>
      </c>
    </row>
    <row r="20" spans="1:6">
      <c r="A20" s="8" t="s">
        <v>67</v>
      </c>
      <c r="B20" s="5">
        <v>179</v>
      </c>
      <c r="C20" s="5">
        <v>76</v>
      </c>
      <c r="D20" s="5">
        <v>3</v>
      </c>
      <c r="E20" s="5"/>
      <c r="F20" s="5">
        <v>258</v>
      </c>
    </row>
    <row r="21" spans="1:6">
      <c r="A21" s="8" t="s">
        <v>128</v>
      </c>
      <c r="B21" s="5">
        <v>99</v>
      </c>
      <c r="C21" s="5">
        <v>69</v>
      </c>
      <c r="D21" s="5">
        <v>3</v>
      </c>
      <c r="E21" s="5">
        <v>24</v>
      </c>
      <c r="F21" s="5">
        <v>195</v>
      </c>
    </row>
    <row r="22" spans="1:6">
      <c r="A22" s="8" t="s">
        <v>76</v>
      </c>
      <c r="B22" s="5">
        <v>75</v>
      </c>
      <c r="C22" s="5">
        <v>103</v>
      </c>
      <c r="D22" s="5">
        <v>4</v>
      </c>
      <c r="E22" s="5">
        <v>6</v>
      </c>
      <c r="F22" s="5">
        <v>188</v>
      </c>
    </row>
    <row r="23" spans="1:6">
      <c r="A23" s="8" t="s">
        <v>81</v>
      </c>
      <c r="B23" s="5">
        <v>43</v>
      </c>
      <c r="C23" s="5">
        <v>90</v>
      </c>
      <c r="D23" s="5">
        <v>8</v>
      </c>
      <c r="E23" s="5">
        <v>6</v>
      </c>
      <c r="F23" s="5">
        <v>147</v>
      </c>
    </row>
    <row r="24" spans="1:6">
      <c r="A24" s="8" t="s">
        <v>171</v>
      </c>
      <c r="B24" s="5">
        <v>26</v>
      </c>
      <c r="C24" s="5">
        <v>35</v>
      </c>
      <c r="D24" s="5">
        <v>4</v>
      </c>
      <c r="E24" s="5"/>
      <c r="F24" s="5">
        <v>65</v>
      </c>
    </row>
    <row r="25" spans="1:6">
      <c r="A25" s="8" t="s">
        <v>2528</v>
      </c>
      <c r="B25" s="5">
        <v>6272</v>
      </c>
      <c r="C25" s="5">
        <v>4672</v>
      </c>
      <c r="D25" s="5">
        <v>317</v>
      </c>
      <c r="E25" s="5">
        <v>736</v>
      </c>
      <c r="F25" s="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tabSelected="1" topLeftCell="A2" workbookViewId="0">
      <selection activeCell="E2" sqref="A2:O2401"/>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7.7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
  <sheetViews>
    <sheetView workbookViewId="0">
      <selection activeCell="E9" sqref="E9"/>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L42" sqref="L42"/>
    </sheetView>
  </sheetViews>
  <sheetFormatPr defaultRowHeight="14.25"/>
  <cols>
    <col min="1" max="1" width="3.375" customWidth="1"/>
    <col min="2" max="2" width="22.25" customWidth="1"/>
    <col min="3" max="4" width="3.375" customWidth="1"/>
    <col min="26" max="26" width="3.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Pivot1</vt:lpstr>
      <vt:lpstr>Pivot2</vt:lpstr>
      <vt:lpstr>Pivot3</vt:lpstr>
      <vt:lpstr>Pivot4</vt:lpstr>
      <vt:lpstr>Data</vt:lpstr>
      <vt:lpstr>Questions &amp; KPIs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cp:lastModifiedBy>
  <dcterms:created xsi:type="dcterms:W3CDTF">2025-06-13T02:42:26Z</dcterms:created>
  <dcterms:modified xsi:type="dcterms:W3CDTF">2026-06-12T02:14:54Z</dcterms:modified>
</cp:coreProperties>
</file>